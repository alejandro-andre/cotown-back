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oimbra\cotown\back\app\templates\report\"/>
    </mc:Choice>
  </mc:AlternateContent>
  <xr:revisionPtr revIDLastSave="0" documentId="13_ncr:1_{A5BE9E5A-197C-4F26-B03E-F78217B6B69A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Recursos" sheetId="37" r:id="rId1"/>
    <sheet name="Valoraciones" sheetId="43" r:id="rId2"/>
    <sheet name="_Precios" sheetId="39" r:id="rId3"/>
    <sheet name="_Tarifas" sheetId="41" r:id="rId4"/>
  </sheets>
  <definedNames>
    <definedName name="_xlnm._FilterDatabase" localSheetId="2" hidden="1">_Precios!$A$2:$N$3</definedName>
    <definedName name="_xlnm._FilterDatabase" localSheetId="0" hidden="1">Recursos!$A$2:$BN$3</definedName>
    <definedName name="_xlnm._FilterDatabase" localSheetId="1" hidden="1">Valoraciones!$A$2:$F$2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1" i="37" l="1"/>
  <c r="X3" i="37" s="1"/>
  <c r="S3" i="39"/>
  <c r="U3" i="37" l="1"/>
  <c r="Y3" i="37"/>
  <c r="V3" i="37"/>
  <c r="W3" i="37"/>
  <c r="Z3" i="37" l="1"/>
  <c r="AB3" i="37"/>
  <c r="AA3" i="37"/>
</calcChain>
</file>

<file path=xl/sharedStrings.xml><?xml version="1.0" encoding="utf-8"?>
<sst xmlns="http://schemas.openxmlformats.org/spreadsheetml/2006/main" count="170" uniqueCount="158">
  <si>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</si>
  <si>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</si>
  <si>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</si>
  <si>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</si>
  <si>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</si>
  <si>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</si>
  <si>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</si>
  <si>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</si>
  <si>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</si>
  <si>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</si>
  <si>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</si>
  <si>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</si>
  <si>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</si>
  <si>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</si>
  <si>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</si>
  <si>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</si>
  <si>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</si>
  <si>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</si>
  <si>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</si>
  <si>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</si>
  <si>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</si>
  <si>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</si>
  <si>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</si>
  <si>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</si>
  <si>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</si>
  <si>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</si>
  <si>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</si>
  <si>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</si>
  <si>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</si>
  <si>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</si>
  <si>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</si>
  <si>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</si>
  <si>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</si>
  <si>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</si>
  <si>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</si>
  <si>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</si>
  <si>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</si>
  <si>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</si>
  <si>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</si>
  <si>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</si>
  <si>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</si>
  <si>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</si>
  <si>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</si>
  <si>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</si>
  <si>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</si>
  <si>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</si>
  <si>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</si>
  <si>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</si>
  <si>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</si>
  <si>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</si>
  <si>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</si>
  <si>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</si>
  <si>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</si>
  <si>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</si>
  <si>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</si>
  <si>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</si>
  <si>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</si>
  <si>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</si>
  <si>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</si>
  <si>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</si>
  <si>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</si>
  <si>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</si>
  <si>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</si>
  <si>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</si>
  <si>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</si>
  <si>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</si>
  <si>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</si>
  <si>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</si>
  <si>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</si>
  <si>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</si>
  <si>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</si>
  <si>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</si>
  <si>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</si>
  <si>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</si>
  <si>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</si>
  <si>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</si>
  <si>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</si>
  <si>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</si>
  <si>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</si>
  <si>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</si>
  <si>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</si>
  <si>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</si>
  <si>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</si>
  <si>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</si>
  <si>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</si>
  <si>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</si>
  <si>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</si>
  <si>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</si>
  <si>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</si>
  <si>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</si>
  <si>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</si>
  <si>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</si>
  <si>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</si>
  <si>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</si>
  <si>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</si>
  <si>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Resource.Code</t>
  </si>
  <si>
    <t>date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</si>
  <si>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</si>
  <si>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</si>
  <si>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</si>
  <si>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</si>
  <si>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</si>
  <si>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</si>
  <si>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</si>
  <si>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</si>
  <si>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</si>
  <si>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</si>
  <si>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</si>
  <si>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</si>
  <si>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</si>
  <si>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</si>
  <si>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</si>
  <si>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</si>
  <si>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</si>
  <si>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</si>
  <si>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</si>
  <si>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</si>
  <si>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</si>
  <si>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</si>
  <si>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</si>
  <si>
    <t>Superficie m2 sin comunes</t>
  </si>
  <si>
    <t>Area_woc</t>
  </si>
  <si>
    <t>Management_fee_no_cleaning</t>
  </si>
  <si>
    <t>Management_fee_weekly</t>
  </si>
  <si>
    <t>Management_fee_biweekly</t>
  </si>
  <si>
    <t>Management_fee_monthly</t>
  </si>
  <si>
    <t>M. Fee
Servicios aparte</t>
  </si>
  <si>
    <t>M. Fee
Sin
limpieza</t>
  </si>
  <si>
    <t>M. Fee
Limpieza semanal</t>
  </si>
  <si>
    <t>M. Fee
Limpieza quincenal</t>
  </si>
  <si>
    <t>M. Fee
Limpieza mensual</t>
  </si>
  <si>
    <t>Fecha fin reforma</t>
  </si>
  <si>
    <t>Certificado energético</t>
  </si>
  <si>
    <t>Valor certificado energético</t>
  </si>
  <si>
    <t>Fecha fin rehab</t>
  </si>
  <si>
    <t>Fecha fin útimo LAU</t>
  </si>
  <si>
    <t>Renta ultimo LAU</t>
  </si>
  <si>
    <t>Valor índice</t>
  </si>
  <si>
    <t>Mobiliario</t>
  </si>
  <si>
    <t>Big_renovation_date</t>
  </si>
  <si>
    <t>Renovation_date</t>
  </si>
  <si>
    <t>Energy_certificate</t>
  </si>
  <si>
    <t>Energy_certificate_rate</t>
  </si>
  <si>
    <t>Last_LAU_date</t>
  </si>
  <si>
    <t>Last_LAU_rent</t>
  </si>
  <si>
    <t>Index_rent</t>
  </si>
  <si>
    <t>Max_services</t>
  </si>
  <si>
    <t>Max_furniture</t>
  </si>
  <si>
    <t>Cédula habitabilidad</t>
  </si>
  <si>
    <t>Occupancy_certificate</t>
  </si>
  <si>
    <t>Consumos</t>
  </si>
  <si>
    <t>Max_utility</t>
  </si>
  <si>
    <t>HOA</t>
  </si>
  <si>
    <t>Repercutir Gastos</t>
  </si>
  <si>
    <t>Tipo de afectación</t>
  </si>
  <si>
    <t>Renta máxima LAU</t>
  </si>
  <si>
    <t>Renta máxima</t>
  </si>
  <si>
    <t>Gastos repecut.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</si>
</sst>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8" formatCode="#,##0.00\ &quot;€&quot;;[Red]\-#,##0.00\ &quot;€&quot;"/>
    <numFmt numFmtId="164" formatCode="#,##0.00\ &quot;€&quot;"/>
    <numFmt numFmtId="165" formatCode="0.000000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8A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9E93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3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4" fontId="3" fillId="0" borderId="2" xfId="0" quotePrefix="1" applyNumberFormat="1" applyFont="1" applyBorder="1"/>
    <xf numFmtId="0" fontId="6" fillId="6" borderId="0" xfId="0" applyFont="1" applyFill="1" applyAlignment="1">
      <alignment horizontal="center" wrapText="1"/>
    </xf>
    <xf numFmtId="14" fontId="3" fillId="7" borderId="2" xfId="0" applyNumberFormat="1" applyFont="1" applyFill="1" applyBorder="1" applyAlignment="1">
      <alignment horizontal="center"/>
    </xf>
    <xf numFmtId="8" fontId="3" fillId="7" borderId="2" xfId="0" applyNumberFormat="1" applyFont="1" applyFill="1" applyBorder="1" applyAlignment="1">
      <alignment horizontal="right"/>
    </xf>
    <xf numFmtId="0" fontId="3" fillId="7" borderId="2" xfId="0" applyFont="1" applyFill="1" applyBorder="1" applyAlignment="1">
      <alignment horizontal="left"/>
    </xf>
    <xf numFmtId="0" fontId="4" fillId="4" borderId="0" xfId="0" applyFont="1" applyFill="1" applyAlignment="1">
      <alignment horizontal="center"/>
    </xf>
    <xf numFmtId="8" fontId="3" fillId="7" borderId="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 wrapText="1"/>
    </xf>
    <xf numFmtId="2" fontId="4" fillId="4" borderId="0" xfId="0" applyNumberFormat="1" applyFont="1" applyFill="1"/>
    <xf numFmtId="2" fontId="3" fillId="0" borderId="2" xfId="3" applyNumberFormat="1" applyFont="1" applyBorder="1"/>
    <xf numFmtId="2" fontId="3" fillId="0" borderId="0" xfId="0" applyNumberFormat="1" applyFont="1"/>
    <xf numFmtId="0" fontId="6" fillId="8" borderId="0" xfId="0" applyFont="1" applyFill="1" applyAlignment="1">
      <alignment horizontal="center" wrapText="1"/>
    </xf>
    <xf numFmtId="0" fontId="3" fillId="9" borderId="2" xfId="0" applyFont="1" applyFill="1" applyBorder="1"/>
    <xf numFmtId="8" fontId="3" fillId="9" borderId="2" xfId="0" applyNumberFormat="1" applyFont="1" applyFill="1" applyBorder="1"/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9E93"/>
      <color rgb="FF008A80"/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3"/>
  <sheetViews>
    <sheetView showGridLines="0" tabSelected="1" workbookViewId="0"/>
  </sheetViews>
  <sheetFormatPr baseColWidth="10" defaultColWidth="24.85546875" defaultRowHeight="13.5" x14ac:dyDescent="0.25"/>
  <cols>
    <col min="1" max="2" width="37.28515625" style="2" customWidth="1"/>
    <col min="3" max="4" width="20.42578125" style="2" bestFit="1" customWidth="1"/>
    <col min="5" max="6" width="20.42578125" style="2" customWidth="1"/>
    <col min="7" max="7" width="13.28515625" style="2" bestFit="1" customWidth="1"/>
    <col min="8" max="8" width="26.7109375" style="2" bestFit="1" customWidth="1"/>
    <col min="9" max="9" width="20.7109375" style="2" bestFit="1" customWidth="1"/>
    <col min="10" max="10" width="29.28515625" style="2" bestFit="1" customWidth="1"/>
    <col min="11" max="11" width="11.140625" style="2" bestFit="1" customWidth="1"/>
    <col min="12" max="12" width="5.85546875" style="2" customWidth="1"/>
    <col min="13" max="13" width="14.28515625" style="2" bestFit="1" customWidth="1"/>
    <col min="14" max="14" width="12.42578125" style="2" bestFit="1" customWidth="1"/>
    <col min="15" max="15" width="20.140625" style="2" bestFit="1" customWidth="1"/>
    <col min="16" max="20" width="12.28515625" style="2" customWidth="1"/>
    <col min="21" max="28" width="9.5703125" style="2" customWidth="1"/>
    <col min="29" max="29" width="53.7109375" style="2" customWidth="1"/>
    <col min="30" max="30" width="10.7109375" style="2" customWidth="1"/>
    <col min="31" max="31" width="30" style="2" customWidth="1"/>
    <col min="32" max="32" width="24.7109375" style="2" customWidth="1"/>
    <col min="33" max="33" width="11.85546875" style="31" customWidth="1"/>
    <col min="34" max="35" width="11.5703125" style="2" customWidth="1"/>
    <col min="36" max="37" width="17.5703125" style="2" bestFit="1" customWidth="1"/>
    <col min="38" max="38" width="10.85546875" style="2" bestFit="1" customWidth="1"/>
    <col min="39" max="39" width="11.5703125" style="2" customWidth="1"/>
    <col min="40" max="44" width="10.7109375" style="2" customWidth="1"/>
    <col min="45" max="45" width="14.140625" style="27" customWidth="1"/>
    <col min="46" max="50" width="11.85546875" style="2" customWidth="1"/>
    <col min="51" max="53" width="17.42578125" style="2" bestFit="1" customWidth="1"/>
    <col min="54" max="55" width="15.42578125" style="2" customWidth="1"/>
    <col min="56" max="57" width="13.5703125" style="2" bestFit="1" customWidth="1"/>
    <col min="58" max="58" width="12.7109375" style="2" bestFit="1" customWidth="1"/>
    <col min="59" max="59" width="12.7109375" style="2" customWidth="1"/>
    <col min="60" max="61" width="13.7109375" style="2" bestFit="1" customWidth="1"/>
    <col min="62" max="65" width="16.85546875" style="2" customWidth="1"/>
    <col min="66" max="66" width="20.5703125" style="2" customWidth="1"/>
    <col min="67" max="67" width="5.42578125" style="2" bestFit="1" customWidth="1"/>
    <col min="68" max="16384" width="24.85546875" style="2"/>
  </cols>
  <sheetData>
    <row r="1" spans="1:67" s="1" customFormat="1" ht="39" customHeight="1" x14ac:dyDescent="0.2">
      <c r="A1" s="3" t="s">
        <v>4</v>
      </c>
      <c r="B1" s="3" t="s">
        <v>68</v>
      </c>
      <c r="C1" s="3" t="s">
        <v>97</v>
      </c>
      <c r="D1" s="3" t="s">
        <v>33</v>
      </c>
      <c r="E1" s="3" t="s">
        <v>81</v>
      </c>
      <c r="F1" s="3" t="s">
        <v>76</v>
      </c>
      <c r="G1" s="3"/>
      <c r="H1" s="3" t="s">
        <v>6</v>
      </c>
      <c r="I1" s="3"/>
      <c r="J1" s="3" t="s">
        <v>9</v>
      </c>
      <c r="K1" s="3" t="s">
        <v>70</v>
      </c>
      <c r="L1" s="15" t="s">
        <v>75</v>
      </c>
      <c r="M1" s="3" t="s">
        <v>7</v>
      </c>
      <c r="N1" s="3" t="s">
        <v>8</v>
      </c>
      <c r="O1" s="3" t="s">
        <v>5</v>
      </c>
      <c r="P1" s="3" t="s">
        <v>126</v>
      </c>
      <c r="Q1" s="3" t="s">
        <v>127</v>
      </c>
      <c r="R1" s="3" t="s">
        <v>128</v>
      </c>
      <c r="S1" s="3" t="s">
        <v>129</v>
      </c>
      <c r="T1" s="3" t="s">
        <v>130</v>
      </c>
      <c r="U1" s="3" t="s">
        <v>62</v>
      </c>
      <c r="V1" s="3" t="s">
        <v>63</v>
      </c>
      <c r="W1" s="3" t="s">
        <v>64</v>
      </c>
      <c r="X1" s="3" t="s">
        <v>118</v>
      </c>
      <c r="Y1" s="3" t="s">
        <v>42</v>
      </c>
      <c r="Z1" s="3" t="s">
        <v>71</v>
      </c>
      <c r="AA1" s="3" t="s">
        <v>72</v>
      </c>
      <c r="AB1" s="3" t="s">
        <v>73</v>
      </c>
      <c r="AC1" s="3" t="s">
        <v>105</v>
      </c>
      <c r="AD1" s="3" t="s">
        <v>106</v>
      </c>
      <c r="AE1" s="3" t="s">
        <v>109</v>
      </c>
      <c r="AF1" s="3" t="s">
        <v>84</v>
      </c>
      <c r="AG1" s="28" t="s">
        <v>101</v>
      </c>
      <c r="AH1" s="21" t="s">
        <v>134</v>
      </c>
      <c r="AI1" s="21" t="s">
        <v>131</v>
      </c>
      <c r="AJ1" s="21" t="s">
        <v>148</v>
      </c>
      <c r="AK1" s="21" t="s">
        <v>132</v>
      </c>
      <c r="AL1" s="21" t="s">
        <v>133</v>
      </c>
      <c r="AM1" s="21" t="s">
        <v>135</v>
      </c>
      <c r="AN1" s="21" t="s">
        <v>136</v>
      </c>
      <c r="AO1" s="21" t="s">
        <v>137</v>
      </c>
      <c r="AP1" s="21" t="s">
        <v>42</v>
      </c>
      <c r="AQ1" s="21" t="s">
        <v>150</v>
      </c>
      <c r="AR1" s="21" t="s">
        <v>138</v>
      </c>
      <c r="AS1" s="21" t="s">
        <v>153</v>
      </c>
      <c r="AT1" s="32" t="s">
        <v>154</v>
      </c>
      <c r="AU1" s="32" t="s">
        <v>155</v>
      </c>
      <c r="AV1" s="32" t="s">
        <v>156</v>
      </c>
      <c r="AW1" s="32" t="s">
        <v>157</v>
      </c>
      <c r="AX1" s="3" t="s">
        <v>99</v>
      </c>
      <c r="AY1" s="3" t="s">
        <v>87</v>
      </c>
      <c r="AZ1" s="3" t="s">
        <v>88</v>
      </c>
      <c r="BA1" s="3" t="s">
        <v>89</v>
      </c>
      <c r="BB1" s="3" t="s">
        <v>13</v>
      </c>
      <c r="BC1" s="3" t="s">
        <v>12</v>
      </c>
      <c r="BD1" s="3" t="s">
        <v>15</v>
      </c>
      <c r="BE1" s="3" t="s">
        <v>120</v>
      </c>
      <c r="BF1" s="3" t="s">
        <v>16</v>
      </c>
      <c r="BG1" s="3" t="s">
        <v>32</v>
      </c>
      <c r="BH1" s="3" t="s">
        <v>18</v>
      </c>
      <c r="BI1" s="3" t="s">
        <v>94</v>
      </c>
      <c r="BJ1" s="3" t="s">
        <v>25</v>
      </c>
      <c r="BK1" s="3" t="s">
        <v>26</v>
      </c>
      <c r="BL1" s="3" t="s">
        <v>27</v>
      </c>
      <c r="BM1" s="3" t="s">
        <v>28</v>
      </c>
      <c r="BN1" s="3" t="s">
        <v>29</v>
      </c>
      <c r="BO1" s="1">
        <f ca="1">IF(MONTH(TODAY())&gt;8,1+YEAR(TODAY()),YEAR(TODAY()))</f>
        <v>2026</v>
      </c>
    </row>
    <row r="2" spans="1:67" x14ac:dyDescent="0.25">
      <c r="A2" s="4" t="s">
        <v>67</v>
      </c>
      <c r="B2" s="4" t="s">
        <v>69</v>
      </c>
      <c r="C2" s="4" t="s">
        <v>98</v>
      </c>
      <c r="D2" s="4" t="s">
        <v>0</v>
      </c>
      <c r="E2" s="4" t="s">
        <v>82</v>
      </c>
      <c r="F2" s="4" t="s">
        <v>77</v>
      </c>
      <c r="G2" s="4" t="s">
        <v>1</v>
      </c>
      <c r="H2" s="5" t="s">
        <v>34</v>
      </c>
      <c r="I2" s="5" t="s">
        <v>78</v>
      </c>
      <c r="J2" s="4" t="s">
        <v>35</v>
      </c>
      <c r="K2" s="4" t="s">
        <v>74</v>
      </c>
      <c r="L2" s="4"/>
      <c r="M2" s="4" t="s">
        <v>2</v>
      </c>
      <c r="N2" s="4" t="s">
        <v>3</v>
      </c>
      <c r="O2" s="4" t="s">
        <v>30</v>
      </c>
      <c r="P2" s="4" t="s">
        <v>83</v>
      </c>
      <c r="Q2" s="4" t="s">
        <v>122</v>
      </c>
      <c r="R2" s="4" t="s">
        <v>123</v>
      </c>
      <c r="S2" s="4" t="s">
        <v>124</v>
      </c>
      <c r="T2" s="4" t="s">
        <v>125</v>
      </c>
      <c r="U2" s="4"/>
      <c r="V2" s="4"/>
      <c r="W2" s="4"/>
      <c r="X2" s="4"/>
      <c r="Y2" s="4"/>
      <c r="Z2" s="4"/>
      <c r="AA2" s="4"/>
      <c r="AB2" s="4"/>
      <c r="AC2" s="4" t="s">
        <v>107</v>
      </c>
      <c r="AD2" s="4" t="s">
        <v>108</v>
      </c>
      <c r="AE2" s="4" t="s">
        <v>110</v>
      </c>
      <c r="AF2" s="4" t="s">
        <v>85</v>
      </c>
      <c r="AG2" s="29" t="s">
        <v>102</v>
      </c>
      <c r="AH2" s="4" t="s">
        <v>139</v>
      </c>
      <c r="AI2" s="4" t="s">
        <v>140</v>
      </c>
      <c r="AJ2" s="4" t="s">
        <v>149</v>
      </c>
      <c r="AK2" s="4" t="s">
        <v>141</v>
      </c>
      <c r="AL2" s="4" t="s">
        <v>142</v>
      </c>
      <c r="AM2" s="4" t="s">
        <v>143</v>
      </c>
      <c r="AN2" s="4" t="s">
        <v>144</v>
      </c>
      <c r="AO2" s="4" t="s">
        <v>145</v>
      </c>
      <c r="AP2" s="4" t="s">
        <v>146</v>
      </c>
      <c r="AQ2" s="4" t="s">
        <v>151</v>
      </c>
      <c r="AR2" s="4" t="s">
        <v>147</v>
      </c>
      <c r="AS2" s="25" t="s">
        <v>152</v>
      </c>
      <c r="AT2" s="4"/>
      <c r="AU2" s="4"/>
      <c r="AV2" s="4"/>
      <c r="AW2" s="4"/>
      <c r="AX2" s="4" t="s">
        <v>100</v>
      </c>
      <c r="AY2" s="4" t="s">
        <v>90</v>
      </c>
      <c r="AZ2" s="4" t="s">
        <v>91</v>
      </c>
      <c r="BA2" s="4" t="s">
        <v>92</v>
      </c>
      <c r="BB2" s="4" t="s">
        <v>10</v>
      </c>
      <c r="BC2" s="4" t="s">
        <v>11</v>
      </c>
      <c r="BD2" s="4" t="s">
        <v>14</v>
      </c>
      <c r="BE2" s="4" t="s">
        <v>121</v>
      </c>
      <c r="BF2" s="4" t="s">
        <v>17</v>
      </c>
      <c r="BG2" s="4" t="s">
        <v>31</v>
      </c>
      <c r="BH2" s="4" t="s">
        <v>19</v>
      </c>
      <c r="BI2" s="4" t="s">
        <v>93</v>
      </c>
      <c r="BJ2" s="4" t="s">
        <v>20</v>
      </c>
      <c r="BK2" s="4" t="s">
        <v>21</v>
      </c>
      <c r="BL2" s="4" t="s">
        <v>22</v>
      </c>
      <c r="BM2" s="4" t="s">
        <v>23</v>
      </c>
      <c r="BN2" s="4" t="s">
        <v>24</v>
      </c>
    </row>
    <row r="3" spans="1:67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0"/>
      <c r="R3" s="10"/>
      <c r="S3" s="10"/>
      <c r="T3" s="10"/>
      <c r="U3" s="13">
        <f ca="1">_xlfn.XLOOKUP($BO$1&amp;LEFT($D3,6)&amp;$H3&amp;$J3,_Precios!$S:$S,_Precios!H:H,0)*_xlfn.XLOOKUP($O3,_Tarifas!$A:$A,_Tarifas!C:C,0)*(1+0.01*_xlfn.NUMBERVALUE(SUBSTITUTE($L3,".",",")))</f>
        <v>0</v>
      </c>
      <c r="V3" s="13">
        <f ca="1">_xlfn.XLOOKUP($BO$1&amp;LEFT($D3,6)&amp;$H3&amp;$J3,_Precios!$S:$S,_Precios!I:I,0)*_xlfn.XLOOKUP($O3,_Tarifas!$A:$A,_Tarifas!C:C,0)*(1+0.01*_xlfn.NUMBERVALUE(SUBSTITUTE($L3,".",",")))</f>
        <v>0</v>
      </c>
      <c r="W3" s="13">
        <f ca="1">_xlfn.XLOOKUP($BO$1&amp;LEFT($D3,6)&amp;$H3&amp;$J3,_Precios!$S:$S,_Precios!J:J,0)*_xlfn.XLOOKUP($O3,_Tarifas!$A:$A,_Tarifas!C:C,0)*(1+0.01*_xlfn.NUMBERVALUE(SUBSTITUTE($L3,".",",")))</f>
        <v>0</v>
      </c>
      <c r="X3" s="13">
        <f ca="1">_xlfn.XLOOKUP($BO$1&amp;LEFT($D3,6)&amp;$H3&amp;$J3,_Precios!$S:$S,_Precios!K:K,0)</f>
        <v>0</v>
      </c>
      <c r="Y3" s="13">
        <f ca="1">_xlfn.XLOOKUP($BO$1&amp;LEFT($D3,6)&amp;$H3&amp;$J3,_Precios!$S:$S,_Precios!L:L,0)</f>
        <v>0</v>
      </c>
      <c r="Z3" s="13">
        <f t="shared" ref="Z3" ca="1" si="0">$U3+$Y3</f>
        <v>0</v>
      </c>
      <c r="AA3" s="13">
        <f t="shared" ref="AA3" ca="1" si="1">$V3+$Y3</f>
        <v>0</v>
      </c>
      <c r="AB3" s="13">
        <f t="shared" ref="AB3" ca="1" si="2">$W3+$Y3</f>
        <v>0</v>
      </c>
      <c r="AC3" s="20"/>
      <c r="AD3" s="19" t="s">
        <v>96</v>
      </c>
      <c r="AE3" s="20"/>
      <c r="AF3" s="17"/>
      <c r="AG3" s="30"/>
      <c r="AH3" s="22" t="s">
        <v>96</v>
      </c>
      <c r="AI3" s="22" t="s">
        <v>96</v>
      </c>
      <c r="AJ3" s="24"/>
      <c r="AK3" s="24"/>
      <c r="AL3" s="24"/>
      <c r="AM3" s="22" t="s">
        <v>96</v>
      </c>
      <c r="AN3" s="23"/>
      <c r="AO3" s="23"/>
      <c r="AP3" s="23"/>
      <c r="AQ3" s="23"/>
      <c r="AR3" s="23"/>
      <c r="AS3" s="26"/>
      <c r="AT3" s="33"/>
      <c r="AU3" s="34"/>
      <c r="AV3" s="34"/>
      <c r="AW3" s="34"/>
      <c r="AX3" s="18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</row>
  </sheetData>
  <autoFilter ref="A2:BN3" xr:uid="{00000000-0009-0000-0000-000000000000}"/>
  <conditionalFormatting sqref="A3:BN9988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5546875" defaultRowHeight="13.5" x14ac:dyDescent="0.25"/>
  <cols>
    <col min="1" max="1" width="20.42578125" style="2" bestFit="1" customWidth="1"/>
    <col min="2" max="2" width="11.7109375" style="2" customWidth="1"/>
    <col min="3" max="6" width="14" style="2" customWidth="1"/>
    <col min="7" max="16384" width="24.85546875" style="2"/>
  </cols>
  <sheetData>
    <row r="1" spans="1:6" s="1" customFormat="1" ht="23.25" customHeight="1" x14ac:dyDescent="0.2">
      <c r="A1" s="3" t="s">
        <v>33</v>
      </c>
      <c r="B1" s="3" t="s">
        <v>116</v>
      </c>
      <c r="C1" s="3" t="s">
        <v>114</v>
      </c>
      <c r="D1" s="3" t="s">
        <v>113</v>
      </c>
      <c r="E1" s="3" t="s">
        <v>111</v>
      </c>
      <c r="F1" s="3" t="s">
        <v>112</v>
      </c>
    </row>
    <row r="2" spans="1:6" x14ac:dyDescent="0.25">
      <c r="A2" s="4" t="s">
        <v>95</v>
      </c>
      <c r="B2" s="4" t="s">
        <v>117</v>
      </c>
      <c r="C2" s="4" t="s">
        <v>103</v>
      </c>
      <c r="D2" s="4" t="s">
        <v>104</v>
      </c>
      <c r="E2" s="4" t="s">
        <v>86</v>
      </c>
      <c r="F2" s="4" t="s">
        <v>115</v>
      </c>
    </row>
    <row r="3" spans="1:6" x14ac:dyDescent="0.25">
      <c r="A3" s="10"/>
      <c r="B3" s="19" t="s">
        <v>96</v>
      </c>
      <c r="C3" s="18"/>
      <c r="D3" s="18"/>
      <c r="E3" s="18"/>
      <c r="F3" s="18"/>
    </row>
  </sheetData>
  <autoFilter ref="A2:F2" xr:uid="{4E1D64B2-929E-46C9-92E4-4B6A6392A32E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5546875" defaultRowHeight="13.5" x14ac:dyDescent="0.25"/>
  <cols>
    <col min="1" max="1" width="9.42578125" style="2" customWidth="1"/>
    <col min="2" max="2" width="16.5703125" style="2" bestFit="1" customWidth="1"/>
    <col min="3" max="3" width="16.5703125" style="2" customWidth="1"/>
    <col min="4" max="4" width="14.85546875" style="2" customWidth="1"/>
    <col min="5" max="5" width="24.7109375" style="2" bestFit="1" customWidth="1"/>
    <col min="6" max="6" width="14.85546875" style="2" customWidth="1"/>
    <col min="7" max="7" width="40.7109375" style="2" bestFit="1" customWidth="1"/>
    <col min="8" max="18" width="17.7109375" style="2" customWidth="1"/>
    <col min="19" max="16384" width="24.85546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118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79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119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80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2578125" defaultRowHeight="13.5" x14ac:dyDescent="0.25"/>
  <cols>
    <col min="1" max="1" width="7.85546875" style="2" bestFit="1" customWidth="1"/>
    <col min="2" max="2" width="20.28515625" style="2" customWidth="1"/>
    <col min="3" max="3" width="13.5703125" style="2" bestFit="1" customWidth="1"/>
    <col min="4" max="16384" width="11.425781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customXml/itemProps2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Recursos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2026-03-29T12:21:04Z</dcterms:modified>
</cp:coreProperties>
</file>