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AFDE5250-B370-4E74-BFA1-8CB23631D3DD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Recursos!$A$2:$AX$3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" i="37" l="1"/>
  <c r="X3" i="37" s="1"/>
  <c r="S3" i="39"/>
  <c r="Y3" i="37" l="1"/>
  <c r="V3" i="37"/>
  <c r="W3" i="37"/>
  <c r="U3" i="37"/>
  <c r="Z3" i="37" l="1"/>
  <c r="AB3" i="37"/>
  <c r="AA3" i="37"/>
</calcChain>
</file>

<file path=xl/sharedStrings.xml><?xml version="1.0" encoding="utf-8"?>
<sst xmlns="http://schemas.openxmlformats.org/spreadsheetml/2006/main" count="139" uniqueCount="131">
  <si>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</si>
  <si>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</si>
  <si>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</si>
  <si>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</si>
  <si>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</si>
  <si>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</si>
  <si>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</si>
  <si>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</si>
  <si>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</si>
  <si>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</si>
  <si>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</si>
  <si>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</si>
  <si>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</si>
  <si>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</si>
  <si>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</si>
  <si>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</si>
  <si>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</si>
  <si>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</si>
  <si>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</si>
  <si>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</si>
  <si>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</si>
  <si>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</si>
  <si>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</si>
  <si>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</si>
  <si>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</si>
  <si>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</si>
  <si>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</si>
  <si>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</si>
  <si>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</si>
  <si>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</si>
  <si>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</si>
  <si>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</si>
  <si>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</si>
  <si>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</si>
  <si>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</si>
  <si>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</si>
  <si>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</si>
  <si>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</si>
  <si>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</si>
  <si>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</si>
  <si>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</si>
  <si>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</si>
  <si>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</si>
  <si>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</si>
  <si>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</si>
  <si>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</si>
  <si>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</si>
  <si>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</si>
  <si>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</si>
  <si>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</si>
  <si>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</si>
  <si>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</si>
  <si>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</si>
  <si>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</si>
  <si>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</si>
  <si>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</si>
  <si>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</si>
  <si>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</si>
  <si>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</si>
  <si>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</si>
  <si>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</si>
  <si>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</si>
  <si>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</si>
  <si>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</si>
  <si>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</si>
  <si>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</si>
  <si>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</si>
  <si>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</si>
  <si>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</si>
  <si>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</si>
  <si>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</si>
  <si>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</si>
  <si>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</si>
  <si>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</si>
  <si>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</si>
  <si>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</si>
  <si>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</si>
  <si>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</si>
  <si>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</si>
  <si>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</si>
  <si>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</si>
  <si>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</si>
  <si>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</si>
  <si>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</si>
  <si>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</si>
  <si>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</si>
  <si>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</si>
  <si>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</si>
  <si>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</si>
  <si>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</si>
  <si>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</si>
  <si>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</si>
  <si>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</si>
  <si>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</si>
  <si>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</si>
  <si>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</si>
  <si>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</si>
  <si>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</si>
  <si>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</si>
  <si>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</si>
  <si>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</si>
  <si>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</si>
  <si>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</si>
  <si>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</si>
  <si>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</si>
  <si>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</si>
  <si>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</si>
  <si>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</si>
  <si>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</si>
  <si>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</si>
  <si>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</si>
  <si>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</si>
  <si>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</si>
  <si>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</si>
  <si>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</si>
  <si>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</si>
  <si>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</si>
  <si>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</si>
  <si>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</si>
  <si>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</si>
  <si>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</si>
  <si>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</si>
  <si>
    <t>M. Fee
Sin servicios</t>
  </si>
  <si>
    <t>M. Fee
Semanal</t>
  </si>
  <si>
    <t>M. Fee
No limpieza</t>
  </si>
  <si>
    <t>M. Fee
Quincenal</t>
  </si>
  <si>
    <t>M. Fee
Mensual</t>
  </si>
  <si>
    <t>Management_fee_no_cleaning</t>
  </si>
  <si>
    <t>Management_fee_weekly</t>
  </si>
  <si>
    <t>Management_fee_biweekly</t>
  </si>
  <si>
    <t>Management_fee_monthly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</si>
</sst>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#,##0.00\ &quot;€&quot;"/>
    <numFmt numFmtId="165" formatCode="0.000000"/>
    <numFmt numFmtId="166" formatCode="0.000%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66" fontId="3" fillId="0" borderId="2" xfId="3" applyNumberFormat="1" applyFont="1" applyBorder="1"/>
    <xf numFmtId="14" fontId="3" fillId="0" borderId="2" xfId="0" quotePrefix="1" applyNumberFormat="1" applyFont="1" applyBorder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3"/>
  <sheetViews>
    <sheetView showGridLines="0" tabSelected="1" workbookViewId="0"/>
  </sheetViews>
  <sheetFormatPr baseColWidth="10" defaultColWidth="24.85546875" defaultRowHeight="13.5" x14ac:dyDescent="0.25"/>
  <cols>
    <col min="1" max="2" width="37.28515625" style="2" customWidth="1"/>
    <col min="3" max="4" width="20.42578125" style="2" bestFit="1" customWidth="1"/>
    <col min="5" max="6" width="20.42578125" style="2" customWidth="1"/>
    <col min="7" max="7" width="13.28515625" style="2" bestFit="1" customWidth="1"/>
    <col min="8" max="8" width="26.7109375" style="2" bestFit="1" customWidth="1"/>
    <col min="9" max="9" width="20.7109375" style="2" bestFit="1" customWidth="1"/>
    <col min="10" max="10" width="29.28515625" style="2" bestFit="1" customWidth="1"/>
    <col min="11" max="11" width="11.140625" style="2" bestFit="1" customWidth="1"/>
    <col min="12" max="12" width="5.85546875" style="2" customWidth="1"/>
    <col min="13" max="13" width="14.28515625" style="2" bestFit="1" customWidth="1"/>
    <col min="14" max="14" width="12.42578125" style="2" bestFit="1" customWidth="1"/>
    <col min="15" max="15" width="20.140625" style="2" bestFit="1" customWidth="1"/>
    <col min="16" max="20" width="12.28515625" style="2" customWidth="1"/>
    <col min="21" max="28" width="9.5703125" style="2" customWidth="1"/>
    <col min="29" max="29" width="30" style="2" customWidth="1"/>
    <col min="30" max="30" width="10.7109375" style="2" customWidth="1"/>
    <col min="31" max="31" width="30" style="2" customWidth="1"/>
    <col min="32" max="32" width="24.7109375" style="2" customWidth="1"/>
    <col min="33" max="34" width="11.85546875" style="2" customWidth="1"/>
    <col min="35" max="37" width="17.42578125" style="2" bestFit="1" customWidth="1"/>
    <col min="38" max="39" width="15.42578125" style="2" customWidth="1"/>
    <col min="40" max="41" width="13.5703125" style="2" bestFit="1" customWidth="1"/>
    <col min="42" max="42" width="12.7109375" style="2" bestFit="1" customWidth="1"/>
    <col min="43" max="43" width="12.7109375" style="2" customWidth="1"/>
    <col min="44" max="45" width="13.7109375" style="2" bestFit="1" customWidth="1"/>
    <col min="46" max="49" width="16.85546875" style="2" customWidth="1"/>
    <col min="50" max="50" width="20.5703125" style="2" customWidth="1"/>
    <col min="51" max="51" width="5" style="2" bestFit="1" customWidth="1"/>
    <col min="52" max="16384" width="24.85546875" style="2"/>
  </cols>
  <sheetData>
    <row r="1" spans="1:51" s="1" customFormat="1" ht="25.5" x14ac:dyDescent="0.2">
      <c r="A1" s="3" t="s">
        <v>4</v>
      </c>
      <c r="B1" s="3" t="s">
        <v>68</v>
      </c>
      <c r="C1" s="3" t="s">
        <v>97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5</v>
      </c>
      <c r="P1" s="3" t="s">
        <v>122</v>
      </c>
      <c r="Q1" s="3" t="s">
        <v>124</v>
      </c>
      <c r="R1" s="3" t="s">
        <v>123</v>
      </c>
      <c r="S1" s="3" t="s">
        <v>125</v>
      </c>
      <c r="T1" s="3" t="s">
        <v>126</v>
      </c>
      <c r="U1" s="3" t="s">
        <v>62</v>
      </c>
      <c r="V1" s="3" t="s">
        <v>63</v>
      </c>
      <c r="W1" s="3" t="s">
        <v>64</v>
      </c>
      <c r="X1" s="3" t="s">
        <v>118</v>
      </c>
      <c r="Y1" s="3" t="s">
        <v>42</v>
      </c>
      <c r="Z1" s="3" t="s">
        <v>71</v>
      </c>
      <c r="AA1" s="3" t="s">
        <v>72</v>
      </c>
      <c r="AB1" s="3" t="s">
        <v>73</v>
      </c>
      <c r="AC1" s="3" t="s">
        <v>105</v>
      </c>
      <c r="AD1" s="3" t="s">
        <v>106</v>
      </c>
      <c r="AE1" s="3" t="s">
        <v>109</v>
      </c>
      <c r="AF1" s="3" t="s">
        <v>84</v>
      </c>
      <c r="AG1" s="3" t="s">
        <v>99</v>
      </c>
      <c r="AH1" s="3" t="s">
        <v>101</v>
      </c>
      <c r="AI1" s="3" t="s">
        <v>87</v>
      </c>
      <c r="AJ1" s="3" t="s">
        <v>88</v>
      </c>
      <c r="AK1" s="3" t="s">
        <v>89</v>
      </c>
      <c r="AL1" s="3" t="s">
        <v>13</v>
      </c>
      <c r="AM1" s="3" t="s">
        <v>12</v>
      </c>
      <c r="AN1" s="3" t="s">
        <v>15</v>
      </c>
      <c r="AO1" s="3" t="s">
        <v>120</v>
      </c>
      <c r="AP1" s="3" t="s">
        <v>16</v>
      </c>
      <c r="AQ1" s="3" t="s">
        <v>32</v>
      </c>
      <c r="AR1" s="3" t="s">
        <v>18</v>
      </c>
      <c r="AS1" s="3" t="s">
        <v>94</v>
      </c>
      <c r="AT1" s="3" t="s">
        <v>25</v>
      </c>
      <c r="AU1" s="3" t="s">
        <v>26</v>
      </c>
      <c r="AV1" s="3" t="s">
        <v>27</v>
      </c>
      <c r="AW1" s="3" t="s">
        <v>28</v>
      </c>
      <c r="AX1" s="3" t="s">
        <v>29</v>
      </c>
      <c r="AY1" s="1">
        <f ca="1">IF(MONTH(TODAY())&gt;8,1+YEAR(TODAY()),YEAR(TODAY()))</f>
        <v>2026</v>
      </c>
    </row>
    <row r="2" spans="1:51" x14ac:dyDescent="0.25">
      <c r="A2" s="4" t="s">
        <v>67</v>
      </c>
      <c r="B2" s="4" t="s">
        <v>69</v>
      </c>
      <c r="C2" s="4" t="s">
        <v>98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30</v>
      </c>
      <c r="P2" s="4" t="s">
        <v>83</v>
      </c>
      <c r="Q2" s="4" t="s">
        <v>127</v>
      </c>
      <c r="R2" s="4" t="s">
        <v>128</v>
      </c>
      <c r="S2" s="4" t="s">
        <v>129</v>
      </c>
      <c r="T2" s="4" t="s">
        <v>130</v>
      </c>
      <c r="U2" s="4"/>
      <c r="V2" s="4"/>
      <c r="W2" s="4"/>
      <c r="X2" s="4"/>
      <c r="Y2" s="4"/>
      <c r="Z2" s="4"/>
      <c r="AA2" s="4"/>
      <c r="AB2" s="4"/>
      <c r="AC2" s="4" t="s">
        <v>107</v>
      </c>
      <c r="AD2" s="4" t="s">
        <v>108</v>
      </c>
      <c r="AE2" s="4" t="s">
        <v>110</v>
      </c>
      <c r="AF2" s="4" t="s">
        <v>85</v>
      </c>
      <c r="AG2" s="4" t="s">
        <v>100</v>
      </c>
      <c r="AH2" s="4" t="s">
        <v>102</v>
      </c>
      <c r="AI2" s="4" t="s">
        <v>90</v>
      </c>
      <c r="AJ2" s="4" t="s">
        <v>91</v>
      </c>
      <c r="AK2" s="4" t="s">
        <v>92</v>
      </c>
      <c r="AL2" s="4" t="s">
        <v>10</v>
      </c>
      <c r="AM2" s="4" t="s">
        <v>11</v>
      </c>
      <c r="AN2" s="4" t="s">
        <v>14</v>
      </c>
      <c r="AO2" s="4" t="s">
        <v>121</v>
      </c>
      <c r="AP2" s="4" t="s">
        <v>17</v>
      </c>
      <c r="AQ2" s="4" t="s">
        <v>31</v>
      </c>
      <c r="AR2" s="4" t="s">
        <v>19</v>
      </c>
      <c r="AS2" s="4" t="s">
        <v>93</v>
      </c>
      <c r="AT2" s="4" t="s">
        <v>20</v>
      </c>
      <c r="AU2" s="4" t="s">
        <v>21</v>
      </c>
      <c r="AV2" s="4" t="s">
        <v>22</v>
      </c>
      <c r="AW2" s="4" t="s">
        <v>23</v>
      </c>
      <c r="AX2" s="4" t="s">
        <v>24</v>
      </c>
    </row>
    <row r="3" spans="1:51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0"/>
      <c r="R3" s="10"/>
      <c r="S3" s="10"/>
      <c r="T3" s="10"/>
      <c r="U3" s="13">
        <f ca="1">_xlfn.XLOOKUP($AY$1&amp;LEFT($D3,6)&amp;$H3&amp;$J3,_Precios!$S:$S,_Precios!H:H,0)*_xlfn.XLOOKUP($O3,_Tarifas!$A:$A,_Tarifas!C:C,0)*(1+0.01*_xlfn.NUMBERVALUE(SUBSTITUTE($L3,".",",")))</f>
        <v>0</v>
      </c>
      <c r="V3" s="13">
        <f ca="1">_xlfn.XLOOKUP($AY$1&amp;LEFT($D3,6)&amp;$H3&amp;$J3,_Precios!$S:$S,_Precios!I:I,0)*_xlfn.XLOOKUP($O3,_Tarifas!$A:$A,_Tarifas!C:C,0)*(1+0.01*_xlfn.NUMBERVALUE(SUBSTITUTE($L3,".",",")))</f>
        <v>0</v>
      </c>
      <c r="W3" s="13">
        <f ca="1">_xlfn.XLOOKUP($AY$1&amp;LEFT($D3,6)&amp;$H3&amp;$J3,_Precios!$S:$S,_Precios!J:J,0)*_xlfn.XLOOKUP($O3,_Tarifas!$A:$A,_Tarifas!C:C,0)*(1+0.01*_xlfn.NUMBERVALUE(SUBSTITUTE($L3,".",",")))</f>
        <v>0</v>
      </c>
      <c r="X3" s="13">
        <f ca="1">_xlfn.XLOOKUP($AY$1&amp;LEFT($D3,6)&amp;$H3&amp;$J3,_Precios!$S:$S,_Precios!K:K,0)</f>
        <v>0</v>
      </c>
      <c r="Y3" s="13">
        <f ca="1">_xlfn.XLOOKUP($AY$1&amp;LEFT($D3,6)&amp;$H3&amp;$J3,_Precios!$S:$S,_Precios!L:L,0)</f>
        <v>0</v>
      </c>
      <c r="Z3" s="13">
        <f t="shared" ref="Z3" ca="1" si="0">$U3+$Y3</f>
        <v>0</v>
      </c>
      <c r="AA3" s="13">
        <f t="shared" ref="AA3" ca="1" si="1">$V3+$Y3</f>
        <v>0</v>
      </c>
      <c r="AB3" s="13">
        <f t="shared" ref="AB3" ca="1" si="2">$W3+$Y3</f>
        <v>0</v>
      </c>
      <c r="AC3" s="21"/>
      <c r="AD3" s="19" t="s">
        <v>96</v>
      </c>
      <c r="AE3" s="21"/>
      <c r="AF3" s="17"/>
      <c r="AG3" s="18"/>
      <c r="AH3" s="2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</row>
  </sheetData>
  <autoFilter ref="A2:AX3" xr:uid="{00000000-0009-0000-0000-000000000000}"/>
  <conditionalFormatting sqref="A3:AX9991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5546875" defaultRowHeight="13.5" x14ac:dyDescent="0.25"/>
  <cols>
    <col min="1" max="1" width="20.42578125" style="2" bestFit="1" customWidth="1"/>
    <col min="2" max="2" width="11.7109375" style="2" customWidth="1"/>
    <col min="3" max="6" width="14" style="2" customWidth="1"/>
    <col min="7" max="16384" width="24.85546875" style="2"/>
  </cols>
  <sheetData>
    <row r="1" spans="1:6" s="1" customFormat="1" ht="23.25" customHeight="1" x14ac:dyDescent="0.2">
      <c r="A1" s="3" t="s">
        <v>33</v>
      </c>
      <c r="B1" s="3" t="s">
        <v>116</v>
      </c>
      <c r="C1" s="3" t="s">
        <v>114</v>
      </c>
      <c r="D1" s="3" t="s">
        <v>113</v>
      </c>
      <c r="E1" s="3" t="s">
        <v>111</v>
      </c>
      <c r="F1" s="3" t="s">
        <v>112</v>
      </c>
    </row>
    <row r="2" spans="1:6" x14ac:dyDescent="0.25">
      <c r="A2" s="4" t="s">
        <v>95</v>
      </c>
      <c r="B2" s="4" t="s">
        <v>117</v>
      </c>
      <c r="C2" s="4" t="s">
        <v>103</v>
      </c>
      <c r="D2" s="4" t="s">
        <v>104</v>
      </c>
      <c r="E2" s="4" t="s">
        <v>86</v>
      </c>
      <c r="F2" s="4" t="s">
        <v>115</v>
      </c>
    </row>
    <row r="3" spans="1:6" x14ac:dyDescent="0.25">
      <c r="A3" s="10"/>
      <c r="B3" s="19" t="s">
        <v>96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5546875" defaultRowHeight="13.5" x14ac:dyDescent="0.25"/>
  <cols>
    <col min="1" max="1" width="9.42578125" style="2" customWidth="1"/>
    <col min="2" max="2" width="16.5703125" style="2" bestFit="1" customWidth="1"/>
    <col min="3" max="3" width="16.5703125" style="2" customWidth="1"/>
    <col min="4" max="4" width="14.85546875" style="2" customWidth="1"/>
    <col min="5" max="5" width="24.7109375" style="2" bestFit="1" customWidth="1"/>
    <col min="6" max="6" width="14.85546875" style="2" customWidth="1"/>
    <col min="7" max="7" width="40.7109375" style="2" bestFit="1" customWidth="1"/>
    <col min="8" max="18" width="17.7109375" style="2" customWidth="1"/>
    <col min="19" max="16384" width="24.85546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118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119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2578125" defaultRowHeight="13.5" x14ac:dyDescent="0.25"/>
  <cols>
    <col min="1" max="1" width="7.85546875" style="2" bestFit="1" customWidth="1"/>
    <col min="2" max="2" width="20.28515625" style="2" customWidth="1"/>
    <col min="3" max="3" width="13.5703125" style="2" bestFit="1" customWidth="1"/>
    <col min="4" max="16384" width="11.425781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customXml/itemProps3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2026-01-16T12:10:34Z</dcterms:modified>
</cp:coreProperties>
</file>