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904875CC-B125-4AAD-9D25-FB401243A3BC}" xr6:coauthVersionLast="47" xr6:coauthVersionMax="47" xr10:uidLastSave="{00000000-0000-0000-0000-000000000000}"/>
  <bookViews>
    <workbookView xWindow="-108" yWindow="-108" windowWidth="23256" windowHeight="12456" tabRatio="750" activeTab="1" xr2:uid="{00000000-000D-0000-FFFF-FFFF00000000}"/>
  </bookViews>
  <sheets>
    <sheet name="Recursos" sheetId="37" r:id="rId1"/>
    <sheet name="Estados" sheetId="42" r:id="rId2"/>
    <sheet name="Valoraciones" sheetId="43" r:id="rId3"/>
    <sheet name="_Precios" sheetId="39" r:id="rId4"/>
    <sheet name="_Tarifas" sheetId="41" r:id="rId5"/>
  </sheets>
  <definedNames>
    <definedName name="_xlnm._FilterDatabase" localSheetId="3" hidden="1">_Precios!$A$2:$N$3</definedName>
    <definedName name="_xlnm._FilterDatabase" localSheetId="1" hidden="1">Estados!$A$2:$A$3</definedName>
    <definedName name="_xlnm._FilterDatabase" localSheetId="0" hidden="1">Recursos!$A$2:$AS$3</definedName>
    <definedName name="_xlnm._FilterDatabase" localSheetId="2" hidden="1">Valoraciones!$A$2:$A$3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" i="37" l="1"/>
  <c r="T3" i="37" s="1"/>
  <c r="S3" i="39"/>
  <c r="U3" i="37" l="1"/>
  <c r="R3" i="37"/>
  <c r="S3" i="37"/>
  <c r="Q3" i="37"/>
  <c r="V3" i="37" l="1"/>
  <c r="X3" i="37"/>
  <c r="W3" i="37"/>
</calcChain>
</file>

<file path=xl/sharedStrings.xml><?xml version="1.0" encoding="utf-8"?>
<sst xmlns="http://schemas.openxmlformats.org/spreadsheetml/2006/main" count="140" uniqueCount="128">
  <si>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</si>
  <si>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</si>
  <si>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</si>
  <si>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</si>
  <si>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</si>
  <si>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</si>
  <si>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</si>
  <si>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</si>
  <si>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</si>
  <si>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</si>
  <si>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</si>
  <si>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</si>
  <si>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</si>
  <si>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</si>
  <si>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</si>
  <si>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</si>
  <si>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</si>
  <si>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</si>
  <si>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</si>
  <si>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</si>
  <si>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</si>
  <si>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</si>
  <si>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</si>
  <si>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</si>
  <si>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</si>
  <si>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</si>
  <si>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</si>
  <si>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</si>
  <si>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</si>
  <si>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</si>
  <si>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</si>
  <si>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</si>
  <si>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</si>
  <si>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</si>
  <si>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</si>
  <si>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</si>
  <si>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</si>
  <si>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</si>
  <si>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</si>
  <si>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</si>
  <si>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</si>
  <si>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</si>
  <si>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</si>
  <si>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</si>
  <si>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</si>
  <si>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</si>
  <si>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</si>
  <si>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</si>
  <si>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</si>
  <si>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</si>
  <si>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</si>
  <si>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</si>
  <si>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</si>
  <si>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</si>
  <si>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</si>
  <si>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</si>
  <si>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</si>
  <si>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</si>
  <si>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</si>
  <si>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</si>
  <si>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</si>
  <si>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</si>
  <si>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</si>
  <si>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</si>
  <si>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</si>
  <si>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</si>
  <si>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</si>
  <si>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</si>
  <si>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</si>
  <si>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</si>
  <si>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</si>
  <si>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</si>
  <si>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</si>
  <si>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</si>
  <si>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Desde</t>
  </si>
  <si>
    <t>Hasta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</si>
  <si>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</si>
  <si>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</si>
  <si>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</si>
  <si>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</si>
  <si>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</si>
  <si>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</si>
  <si>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</si>
  <si>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</si>
  <si>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</si>
  <si>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</si>
  <si>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Management 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</si>
  <si>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</si>
  <si>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</si>
  <si>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</si>
  <si>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</si>
  <si>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</si>
  <si>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</si>
  <si>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</si>
  <si>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</si>
  <si>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</si>
  <si>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</si>
  <si>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</si>
  <si>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Estado</t>
  </si>
  <si>
    <t>Date_from</t>
  </si>
  <si>
    <t>Date_to</t>
  </si>
  <si>
    <t>Resource.Code</t>
  </si>
  <si>
    <t>date</t>
  </si>
  <si>
    <t>Status.Name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</si>
  <si>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</si>
  <si>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</si>
  <si>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</si>
  <si>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</si>
  <si>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</si>
  <si>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</si>
  <si>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</si>
  <si>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</si>
  <si>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</si>
  <si>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</si>
  <si>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</si>
  <si>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</si>
  <si>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</si>
  <si>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</si>
  <si>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</si>
  <si>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</si>
  <si>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</si>
  <si>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</si>
  <si>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</si>
  <si>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</si>
  <si>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</si>
  <si>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</si>
  <si>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</si>
  <si>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Convertible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</si>
</sst>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"/>
  <sheetViews>
    <sheetView showGridLines="0" workbookViewId="0"/>
  </sheetViews>
  <sheetFormatPr baseColWidth="10" defaultColWidth="24.88671875" defaultRowHeight="13.2" x14ac:dyDescent="0.25"/>
  <cols>
    <col min="1" max="2" width="37.33203125" style="2" customWidth="1"/>
    <col min="3" max="4" width="20.44140625" style="2" bestFit="1" customWidth="1"/>
    <col min="5" max="6" width="20.44140625" style="2" customWidth="1"/>
    <col min="7" max="7" width="13.33203125" style="2" bestFit="1" customWidth="1"/>
    <col min="8" max="8" width="26.6640625" style="2" bestFit="1" customWidth="1"/>
    <col min="9" max="9" width="20.6640625" style="2" bestFit="1" customWidth="1"/>
    <col min="10" max="10" width="29.33203125" style="2" bestFit="1" customWidth="1"/>
    <col min="11" max="11" width="11.109375" style="2" bestFit="1" customWidth="1"/>
    <col min="12" max="12" width="5.88671875" style="2" customWidth="1"/>
    <col min="13" max="13" width="14.33203125" style="2" bestFit="1" customWidth="1"/>
    <col min="14" max="14" width="12.44140625" style="2" bestFit="1" customWidth="1"/>
    <col min="15" max="15" width="20.109375" style="2" bestFit="1" customWidth="1"/>
    <col min="16" max="16" width="11.109375" style="2" bestFit="1" customWidth="1"/>
    <col min="17" max="24" width="9.5546875" style="2" customWidth="1"/>
    <col min="25" max="25" width="30" style="2" customWidth="1"/>
    <col min="26" max="26" width="10.6640625" style="2" customWidth="1"/>
    <col min="27" max="27" width="30" style="2" customWidth="1"/>
    <col min="28" max="28" width="24.6640625" style="2" customWidth="1"/>
    <col min="29" max="30" width="11.88671875" style="2" customWidth="1"/>
    <col min="31" max="33" width="17.44140625" style="2" bestFit="1" customWidth="1"/>
    <col min="34" max="35" width="15.44140625" style="2" customWidth="1"/>
    <col min="36" max="36" width="13.5546875" style="2" bestFit="1" customWidth="1"/>
    <col min="37" max="37" width="12.6640625" style="2" bestFit="1" customWidth="1"/>
    <col min="38" max="38" width="12.6640625" style="2" customWidth="1"/>
    <col min="39" max="40" width="13.6640625" style="2" bestFit="1" customWidth="1"/>
    <col min="41" max="44" width="16.88671875" style="2" customWidth="1"/>
    <col min="45" max="45" width="20.5546875" style="2" customWidth="1"/>
    <col min="46" max="46" width="5" style="2" bestFit="1" customWidth="1"/>
    <col min="47" max="16384" width="24.88671875" style="2"/>
  </cols>
  <sheetData>
    <row r="1" spans="1:46" s="1" customFormat="1" ht="25.2" x14ac:dyDescent="0.2">
      <c r="A1" s="3" t="s">
        <v>4</v>
      </c>
      <c r="B1" s="3" t="s">
        <v>68</v>
      </c>
      <c r="C1" s="3" t="s">
        <v>104</v>
      </c>
      <c r="D1" s="3" t="s">
        <v>33</v>
      </c>
      <c r="E1" s="3" t="s">
        <v>83</v>
      </c>
      <c r="F1" s="3" t="s">
        <v>78</v>
      </c>
      <c r="G1" s="3"/>
      <c r="H1" s="3" t="s">
        <v>6</v>
      </c>
      <c r="I1" s="3"/>
      <c r="J1" s="3" t="s">
        <v>9</v>
      </c>
      <c r="K1" s="3" t="s">
        <v>70</v>
      </c>
      <c r="L1" s="15" t="s">
        <v>77</v>
      </c>
      <c r="M1" s="3" t="s">
        <v>7</v>
      </c>
      <c r="N1" s="3" t="s">
        <v>8</v>
      </c>
      <c r="O1" s="3" t="s">
        <v>5</v>
      </c>
      <c r="P1" s="3" t="s">
        <v>86</v>
      </c>
      <c r="Q1" s="3" t="s">
        <v>62</v>
      </c>
      <c r="R1" s="3" t="s">
        <v>63</v>
      </c>
      <c r="S1" s="3" t="s">
        <v>64</v>
      </c>
      <c r="T1" s="3" t="s">
        <v>125</v>
      </c>
      <c r="U1" s="3" t="s">
        <v>42</v>
      </c>
      <c r="V1" s="3" t="s">
        <v>71</v>
      </c>
      <c r="W1" s="3" t="s">
        <v>72</v>
      </c>
      <c r="X1" s="3" t="s">
        <v>73</v>
      </c>
      <c r="Y1" s="3" t="s">
        <v>112</v>
      </c>
      <c r="Z1" s="3" t="s">
        <v>113</v>
      </c>
      <c r="AA1" s="3" t="s">
        <v>116</v>
      </c>
      <c r="AB1" s="3" t="s">
        <v>87</v>
      </c>
      <c r="AC1" s="3" t="s">
        <v>106</v>
      </c>
      <c r="AD1" s="3" t="s">
        <v>108</v>
      </c>
      <c r="AE1" s="3" t="s">
        <v>90</v>
      </c>
      <c r="AF1" s="3" t="s">
        <v>91</v>
      </c>
      <c r="AG1" s="3" t="s">
        <v>92</v>
      </c>
      <c r="AH1" s="3" t="s">
        <v>13</v>
      </c>
      <c r="AI1" s="3" t="s">
        <v>12</v>
      </c>
      <c r="AJ1" s="3" t="s">
        <v>15</v>
      </c>
      <c r="AK1" s="3" t="s">
        <v>16</v>
      </c>
      <c r="AL1" s="3" t="s">
        <v>32</v>
      </c>
      <c r="AM1" s="3" t="s">
        <v>18</v>
      </c>
      <c r="AN1" s="3" t="s">
        <v>97</v>
      </c>
      <c r="AO1" s="3" t="s">
        <v>25</v>
      </c>
      <c r="AP1" s="3" t="s">
        <v>26</v>
      </c>
      <c r="AQ1" s="3" t="s">
        <v>27</v>
      </c>
      <c r="AR1" s="3" t="s">
        <v>28</v>
      </c>
      <c r="AS1" s="3" t="s">
        <v>29</v>
      </c>
      <c r="AT1" s="1">
        <f ca="1">IF(MONTH(TODAY())&gt;8,1+YEAR(TODAY()),YEAR(TODAY()))</f>
        <v>2026</v>
      </c>
    </row>
    <row r="2" spans="1:46" x14ac:dyDescent="0.25">
      <c r="A2" s="4" t="s">
        <v>67</v>
      </c>
      <c r="B2" s="4" t="s">
        <v>69</v>
      </c>
      <c r="C2" s="4" t="s">
        <v>105</v>
      </c>
      <c r="D2" s="4" t="s">
        <v>0</v>
      </c>
      <c r="E2" s="4" t="s">
        <v>84</v>
      </c>
      <c r="F2" s="4" t="s">
        <v>79</v>
      </c>
      <c r="G2" s="4" t="s">
        <v>1</v>
      </c>
      <c r="H2" s="5" t="s">
        <v>34</v>
      </c>
      <c r="I2" s="5" t="s">
        <v>80</v>
      </c>
      <c r="J2" s="4" t="s">
        <v>35</v>
      </c>
      <c r="K2" s="4" t="s">
        <v>76</v>
      </c>
      <c r="L2" s="4"/>
      <c r="M2" s="4" t="s">
        <v>2</v>
      </c>
      <c r="N2" s="4" t="s">
        <v>3</v>
      </c>
      <c r="O2" s="4" t="s">
        <v>30</v>
      </c>
      <c r="P2" s="4" t="s">
        <v>85</v>
      </c>
      <c r="Q2" s="4"/>
      <c r="R2" s="4"/>
      <c r="S2" s="4"/>
      <c r="T2" s="4"/>
      <c r="U2" s="4"/>
      <c r="V2" s="4"/>
      <c r="W2" s="4"/>
      <c r="X2" s="4"/>
      <c r="Y2" s="4" t="s">
        <v>114</v>
      </c>
      <c r="Z2" s="4" t="s">
        <v>115</v>
      </c>
      <c r="AA2" s="4" t="s">
        <v>117</v>
      </c>
      <c r="AB2" s="4" t="s">
        <v>88</v>
      </c>
      <c r="AC2" s="4" t="s">
        <v>107</v>
      </c>
      <c r="AD2" s="4" t="s">
        <v>109</v>
      </c>
      <c r="AE2" s="4" t="s">
        <v>93</v>
      </c>
      <c r="AF2" s="4" t="s">
        <v>94</v>
      </c>
      <c r="AG2" s="4" t="s">
        <v>95</v>
      </c>
      <c r="AH2" s="4" t="s">
        <v>10</v>
      </c>
      <c r="AI2" s="4" t="s">
        <v>11</v>
      </c>
      <c r="AJ2" s="4" t="s">
        <v>14</v>
      </c>
      <c r="AK2" s="4" t="s">
        <v>17</v>
      </c>
      <c r="AL2" s="4" t="s">
        <v>31</v>
      </c>
      <c r="AM2" s="4" t="s">
        <v>19</v>
      </c>
      <c r="AN2" s="4" t="s">
        <v>96</v>
      </c>
      <c r="AO2" s="4" t="s">
        <v>20</v>
      </c>
      <c r="AP2" s="4" t="s">
        <v>21</v>
      </c>
      <c r="AQ2" s="4" t="s">
        <v>22</v>
      </c>
      <c r="AR2" s="4" t="s">
        <v>23</v>
      </c>
      <c r="AS2" s="4" t="s">
        <v>24</v>
      </c>
    </row>
    <row r="3" spans="1:46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3">
        <f ca="1">_xlfn.XLOOKUP($AT$1&amp;LEFT($D3,6)&amp;$H3&amp;$J3,_Precios!$S:$S,_Precios!H:H,0)*_xlfn.XLOOKUP($O3,_Tarifas!$A:$A,_Tarifas!C:C,0)*(1+0.01*_xlfn.NUMBERVALUE(SUBSTITUTE($L3,".",",")))</f>
        <v>0</v>
      </c>
      <c r="R3" s="13">
        <f ca="1">_xlfn.XLOOKUP($AT$1&amp;LEFT($D3,6)&amp;$H3&amp;$J3,_Precios!$S:$S,_Precios!I:I,0)*_xlfn.XLOOKUP($O3,_Tarifas!$A:$A,_Tarifas!C:C,0)*(1+0.01*_xlfn.NUMBERVALUE(SUBSTITUTE($L3,".",",")))</f>
        <v>0</v>
      </c>
      <c r="S3" s="13">
        <f ca="1">_xlfn.XLOOKUP($AT$1&amp;LEFT($D3,6)&amp;$H3&amp;$J3,_Precios!$S:$S,_Precios!J:J,0)*_xlfn.XLOOKUP($O3,_Tarifas!$A:$A,_Tarifas!C:C,0)*(1+0.01*_xlfn.NUMBERVALUE(SUBSTITUTE($L3,".",",")))</f>
        <v>0</v>
      </c>
      <c r="T3" s="13">
        <f ca="1">_xlfn.XLOOKUP($AT$1&amp;LEFT($D3,6)&amp;$H3&amp;$J3,_Precios!$S:$S,_Precios!K:K,0)</f>
        <v>0</v>
      </c>
      <c r="U3" s="13">
        <f ca="1">_xlfn.XLOOKUP($AT$1&amp;LEFT($D3,6)&amp;$H3&amp;$J3,_Precios!$S:$S,_Precios!L:L,0)</f>
        <v>0</v>
      </c>
      <c r="V3" s="13">
        <f t="shared" ref="V3" ca="1" si="0">$Q3+$U3</f>
        <v>0</v>
      </c>
      <c r="W3" s="13">
        <f t="shared" ref="W3" ca="1" si="1">$R3+$U3</f>
        <v>0</v>
      </c>
      <c r="X3" s="13">
        <f t="shared" ref="X3" ca="1" si="2">$S3+$U3</f>
        <v>0</v>
      </c>
      <c r="Y3" s="21"/>
      <c r="Z3" s="19" t="s">
        <v>102</v>
      </c>
      <c r="AA3" s="21"/>
      <c r="AB3" s="17"/>
      <c r="AC3" s="18"/>
      <c r="AD3" s="2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</sheetData>
  <autoFilter ref="A2:AS3" xr:uid="{00000000-0009-0000-0000-000000000000}"/>
  <conditionalFormatting sqref="A3:AS9991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A7EA-EF6A-4647-BD82-04BF3857C227}">
  <dimension ref="A1:E3"/>
  <sheetViews>
    <sheetView showGridLines="0" tabSelected="1" workbookViewId="0"/>
  </sheetViews>
  <sheetFormatPr baseColWidth="10" defaultColWidth="24.88671875" defaultRowHeight="13.2" x14ac:dyDescent="0.25"/>
  <cols>
    <col min="1" max="1" width="20.44140625" style="2" bestFit="1" customWidth="1"/>
    <col min="2" max="3" width="11.6640625" style="2" customWidth="1"/>
    <col min="4" max="5" width="22.109375" style="2" bestFit="1" customWidth="1"/>
    <col min="6" max="16384" width="24.88671875" style="2"/>
  </cols>
  <sheetData>
    <row r="1" spans="1:5" s="1" customFormat="1" ht="23.25" customHeight="1" x14ac:dyDescent="0.2">
      <c r="A1" s="3" t="s">
        <v>33</v>
      </c>
      <c r="B1" s="3" t="s">
        <v>74</v>
      </c>
      <c r="C1" s="3" t="s">
        <v>75</v>
      </c>
      <c r="D1" s="3" t="s">
        <v>98</v>
      </c>
      <c r="E1" s="3" t="s">
        <v>127</v>
      </c>
    </row>
    <row r="2" spans="1:5" x14ac:dyDescent="0.25">
      <c r="A2" s="4" t="s">
        <v>101</v>
      </c>
      <c r="B2" s="4" t="s">
        <v>99</v>
      </c>
      <c r="C2" s="4" t="s">
        <v>100</v>
      </c>
      <c r="D2" s="4" t="s">
        <v>103</v>
      </c>
      <c r="E2" s="4"/>
    </row>
    <row r="3" spans="1:5" x14ac:dyDescent="0.25">
      <c r="A3" s="10"/>
      <c r="B3" s="19" t="s">
        <v>102</v>
      </c>
      <c r="C3" s="19" t="s">
        <v>102</v>
      </c>
      <c r="D3" s="10"/>
      <c r="E3" s="10"/>
    </row>
  </sheetData>
  <autoFilter ref="A2:A3" xr:uid="{00000000-0009-0000-0000-000000000000}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2" width="11.6640625" style="2" customWidth="1"/>
    <col min="3" max="6" width="14" style="2" customWidth="1"/>
    <col min="7" max="16384" width="24.88671875" style="2"/>
  </cols>
  <sheetData>
    <row r="1" spans="1:6" s="1" customFormat="1" ht="23.25" customHeight="1" x14ac:dyDescent="0.2">
      <c r="A1" s="3" t="s">
        <v>33</v>
      </c>
      <c r="B1" s="3" t="s">
        <v>123</v>
      </c>
      <c r="C1" s="3" t="s">
        <v>121</v>
      </c>
      <c r="D1" s="3" t="s">
        <v>120</v>
      </c>
      <c r="E1" s="3" t="s">
        <v>118</v>
      </c>
      <c r="F1" s="3" t="s">
        <v>119</v>
      </c>
    </row>
    <row r="2" spans="1:6" x14ac:dyDescent="0.25">
      <c r="A2" s="4" t="s">
        <v>101</v>
      </c>
      <c r="B2" s="4" t="s">
        <v>124</v>
      </c>
      <c r="C2" s="4" t="s">
        <v>110</v>
      </c>
      <c r="D2" s="4" t="s">
        <v>111</v>
      </c>
      <c r="E2" s="4" t="s">
        <v>89</v>
      </c>
      <c r="F2" s="4" t="s">
        <v>122</v>
      </c>
    </row>
    <row r="3" spans="1:6" x14ac:dyDescent="0.25">
      <c r="A3" s="10"/>
      <c r="B3" s="19" t="s">
        <v>102</v>
      </c>
      <c r="C3" s="18"/>
      <c r="D3" s="18"/>
      <c r="E3" s="18"/>
      <c r="F3" s="18"/>
    </row>
  </sheetData>
  <autoFilter ref="A2:A3" xr:uid="{00000000-0009-0000-0000-000000000000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8671875" defaultRowHeight="13.2" x14ac:dyDescent="0.25"/>
  <cols>
    <col min="1" max="1" width="9.44140625" style="2" customWidth="1"/>
    <col min="2" max="2" width="16.5546875" style="2" bestFit="1" customWidth="1"/>
    <col min="3" max="3" width="16.5546875" style="2" customWidth="1"/>
    <col min="4" max="4" width="14.88671875" style="2" customWidth="1"/>
    <col min="5" max="5" width="24.6640625" style="2" bestFit="1" customWidth="1"/>
    <col min="6" max="6" width="14.88671875" style="2" customWidth="1"/>
    <col min="7" max="7" width="40.6640625" style="2" bestFit="1" customWidth="1"/>
    <col min="8" max="18" width="17.6640625" style="2" customWidth="1"/>
    <col min="19" max="16384" width="24.88671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125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81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126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82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4140625" defaultRowHeight="13.2" x14ac:dyDescent="0.25"/>
  <cols>
    <col min="1" max="1" width="7.88671875" style="2" bestFit="1" customWidth="1"/>
    <col min="2" max="2" width="20.33203125" style="2" customWidth="1"/>
    <col min="3" max="3" width="13.5546875" style="2" bestFit="1" customWidth="1"/>
    <col min="4" max="16384" width="11.441406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Recursos</vt:lpstr>
      <vt:lpstr>Estados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2025-10-16T09:48:58Z</dcterms:modified>
</cp:coreProperties>
</file>