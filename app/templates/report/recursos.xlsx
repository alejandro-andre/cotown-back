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B72E2178-D727-436A-A1D9-C108A6D97E3A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Recursos!$A$2:$BJ$3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" i="37" l="1"/>
  <c r="X3" i="37" s="1"/>
  <c r="S3" i="39"/>
  <c r="U3" i="37" l="1"/>
  <c r="Y3" i="37"/>
  <c r="V3" i="37"/>
  <c r="W3" i="37"/>
  <c r="Z3" i="37" l="1"/>
  <c r="AB3" i="37"/>
  <c r="AA3" i="37"/>
</calcChain>
</file>

<file path=xl/sharedStrings.xml><?xml version="1.0" encoding="utf-8"?>
<sst xmlns="http://schemas.openxmlformats.org/spreadsheetml/2006/main" count="166" uniqueCount="154">
  <si>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</si>
  <si>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</si>
  <si>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</si>
  <si>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</si>
  <si>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</si>
  <si>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</si>
  <si>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</si>
  <si>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</si>
  <si>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</si>
  <si>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</si>
  <si>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</si>
  <si>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</si>
  <si>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</si>
  <si>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</si>
  <si>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</si>
  <si>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</si>
  <si>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</si>
  <si>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</si>
  <si>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</si>
  <si>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</si>
  <si>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</si>
  <si>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</si>
  <si>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</si>
  <si>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</si>
  <si>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</si>
  <si>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</si>
  <si>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</si>
  <si>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</si>
  <si>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</si>
  <si>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</si>
  <si>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</si>
  <si>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</si>
  <si>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</si>
  <si>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</si>
  <si>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</si>
  <si>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</si>
  <si>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</si>
  <si>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</si>
  <si>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</si>
  <si>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</si>
  <si>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</si>
  <si>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</si>
  <si>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</si>
  <si>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</si>
  <si>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</si>
  <si>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</si>
  <si>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</si>
  <si>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</si>
  <si>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</si>
  <si>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</si>
  <si>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</si>
  <si>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</si>
  <si>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</si>
  <si>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</si>
  <si>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</si>
  <si>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</si>
  <si>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</si>
  <si>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</si>
  <si>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</si>
  <si>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</si>
  <si>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</si>
  <si>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</si>
  <si>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</si>
  <si>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</si>
  <si>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</si>
  <si>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</si>
  <si>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</si>
  <si>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</si>
  <si>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</si>
  <si>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</si>
  <si>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</si>
  <si>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</si>
  <si>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</si>
  <si>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</si>
  <si>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</si>
  <si>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</si>
  <si>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</si>
  <si>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</si>
  <si>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</si>
  <si>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</si>
  <si>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</si>
  <si>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</si>
  <si>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</si>
  <si>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</si>
  <si>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</si>
  <si>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</si>
  <si>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</si>
  <si>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</si>
  <si>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</si>
  <si>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</si>
  <si>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</si>
  <si>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</si>
  <si>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</si>
  <si>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</si>
  <si>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</si>
  <si>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</si>
  <si>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</si>
  <si>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</si>
  <si>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</si>
  <si>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</si>
  <si>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</si>
  <si>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</si>
  <si>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</si>
  <si>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</si>
  <si>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</si>
  <si>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</si>
  <si>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</si>
  <si>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</si>
  <si>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</si>
  <si>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</si>
  <si>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</si>
  <si>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</si>
  <si>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</si>
  <si>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</si>
  <si>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</si>
  <si>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</si>
  <si>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</si>
  <si>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</si>
  <si>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</si>
  <si>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</si>
  <si>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</si>
  <si>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</si>
  <si>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</si>
  <si>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</si>
  <si>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</si>
  <si>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</si>
  <si>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</si>
  <si>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</si>
  <si>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</si>
  <si>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</si>
  <si>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</si>
  <si>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</si>
  <si>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</si>
  <si>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</si>
  <si>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</si>
  <si>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</si>
  <si>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</si>
  <si>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</si>
  <si>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</si>
  <si>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</si>
  <si>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</si>
  <si>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</si>
  <si>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</si>
  <si>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</si>
  <si>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</si>
  <si>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</si>
  <si>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</si>
  <si>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</si>
  <si>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</si>
  <si>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</si>
  <si>
    <t>Consumos</t>
  </si>
  <si>
    <t>Max_utility</t>
  </si>
  <si>
    <t>Repercutir Gastos Comunidad</t>
  </si>
  <si>
    <t>HOA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</si>
</sst>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 wrapText="1"/>
    </xf>
    <xf numFmtId="2" fontId="4" fillId="4" borderId="0" xfId="0" applyNumberFormat="1" applyFont="1" applyFill="1"/>
    <xf numFmtId="2" fontId="3" fillId="0" borderId="2" xfId="3" applyNumberFormat="1" applyFont="1" applyBorder="1"/>
    <xf numFmtId="2" fontId="3" fillId="0" borderId="0" xfId="0" applyNumberFormat="1" applyFont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3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20" width="12.28515625" style="2" customWidth="1"/>
    <col min="21" max="28" width="9.5703125" style="2" customWidth="1"/>
    <col min="29" max="29" width="53.7109375" style="2" customWidth="1"/>
    <col min="30" max="30" width="10.7109375" style="2" customWidth="1"/>
    <col min="31" max="31" width="30" style="2" customWidth="1"/>
    <col min="32" max="32" width="24.7109375" style="2" customWidth="1"/>
    <col min="33" max="33" width="11.85546875" style="31" customWidth="1"/>
    <col min="34" max="35" width="11.5703125" style="2" customWidth="1"/>
    <col min="36" max="37" width="17.5703125" style="2" bestFit="1" customWidth="1"/>
    <col min="38" max="38" width="10.85546875" style="2" bestFit="1" customWidth="1"/>
    <col min="39" max="39" width="11.5703125" style="2" customWidth="1"/>
    <col min="40" max="44" width="10.7109375" style="2" customWidth="1"/>
    <col min="45" max="45" width="14.140625" style="27" customWidth="1"/>
    <col min="46" max="46" width="11.85546875" style="2" customWidth="1"/>
    <col min="47" max="49" width="17.42578125" style="2" bestFit="1" customWidth="1"/>
    <col min="50" max="51" width="15.42578125" style="2" customWidth="1"/>
    <col min="52" max="53" width="13.5703125" style="2" bestFit="1" customWidth="1"/>
    <col min="54" max="54" width="12.7109375" style="2" bestFit="1" customWidth="1"/>
    <col min="55" max="55" width="12.7109375" style="2" customWidth="1"/>
    <col min="56" max="57" width="13.7109375" style="2" bestFit="1" customWidth="1"/>
    <col min="58" max="61" width="16.85546875" style="2" customWidth="1"/>
    <col min="62" max="62" width="20.5703125" style="2" customWidth="1"/>
    <col min="63" max="63" width="5.42578125" style="2" bestFit="1" customWidth="1"/>
    <col min="64" max="16384" width="24.85546875" style="2"/>
  </cols>
  <sheetData>
    <row r="1" spans="1:63" s="1" customFormat="1" ht="63.75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28" t="s">
        <v>101</v>
      </c>
      <c r="AH1" s="21" t="s">
        <v>134</v>
      </c>
      <c r="AI1" s="21" t="s">
        <v>131</v>
      </c>
      <c r="AJ1" s="21" t="s">
        <v>148</v>
      </c>
      <c r="AK1" s="21" t="s">
        <v>132</v>
      </c>
      <c r="AL1" s="21" t="s">
        <v>133</v>
      </c>
      <c r="AM1" s="21" t="s">
        <v>135</v>
      </c>
      <c r="AN1" s="21" t="s">
        <v>136</v>
      </c>
      <c r="AO1" s="21" t="s">
        <v>137</v>
      </c>
      <c r="AP1" s="21" t="s">
        <v>42</v>
      </c>
      <c r="AQ1" s="21" t="s">
        <v>150</v>
      </c>
      <c r="AR1" s="21" t="s">
        <v>138</v>
      </c>
      <c r="AS1" s="21" t="s">
        <v>152</v>
      </c>
      <c r="AT1" s="3" t="s">
        <v>99</v>
      </c>
      <c r="AU1" s="3" t="s">
        <v>87</v>
      </c>
      <c r="AV1" s="3" t="s">
        <v>88</v>
      </c>
      <c r="AW1" s="3" t="s">
        <v>89</v>
      </c>
      <c r="AX1" s="3" t="s">
        <v>13</v>
      </c>
      <c r="AY1" s="3" t="s">
        <v>12</v>
      </c>
      <c r="AZ1" s="3" t="s">
        <v>15</v>
      </c>
      <c r="BA1" s="3" t="s">
        <v>120</v>
      </c>
      <c r="BB1" s="3" t="s">
        <v>16</v>
      </c>
      <c r="BC1" s="3" t="s">
        <v>32</v>
      </c>
      <c r="BD1" s="3" t="s">
        <v>18</v>
      </c>
      <c r="BE1" s="3" t="s">
        <v>94</v>
      </c>
      <c r="BF1" s="3" t="s">
        <v>25</v>
      </c>
      <c r="BG1" s="3" t="s">
        <v>26</v>
      </c>
      <c r="BH1" s="3" t="s">
        <v>27</v>
      </c>
      <c r="BI1" s="3" t="s">
        <v>28</v>
      </c>
      <c r="BJ1" s="3" t="s">
        <v>29</v>
      </c>
      <c r="BK1" s="1">
        <f ca="1">IF(MONTH(TODAY())&gt;8,1+YEAR(TODAY()),YEAR(TODAY()))</f>
        <v>2026</v>
      </c>
    </row>
    <row r="2" spans="1:63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29" t="s">
        <v>102</v>
      </c>
      <c r="AH2" s="4" t="s">
        <v>139</v>
      </c>
      <c r="AI2" s="4" t="s">
        <v>140</v>
      </c>
      <c r="AJ2" s="4" t="s">
        <v>149</v>
      </c>
      <c r="AK2" s="4" t="s">
        <v>141</v>
      </c>
      <c r="AL2" s="4" t="s">
        <v>142</v>
      </c>
      <c r="AM2" s="4" t="s">
        <v>143</v>
      </c>
      <c r="AN2" s="4" t="s">
        <v>144</v>
      </c>
      <c r="AO2" s="4" t="s">
        <v>145</v>
      </c>
      <c r="AP2" s="4" t="s">
        <v>146</v>
      </c>
      <c r="AQ2" s="4" t="s">
        <v>151</v>
      </c>
      <c r="AR2" s="4" t="s">
        <v>147</v>
      </c>
      <c r="AS2" s="25" t="s">
        <v>153</v>
      </c>
      <c r="AT2" s="4" t="s">
        <v>100</v>
      </c>
      <c r="AU2" s="4" t="s">
        <v>90</v>
      </c>
      <c r="AV2" s="4" t="s">
        <v>91</v>
      </c>
      <c r="AW2" s="4" t="s">
        <v>92</v>
      </c>
      <c r="AX2" s="4" t="s">
        <v>10</v>
      </c>
      <c r="AY2" s="4" t="s">
        <v>11</v>
      </c>
      <c r="AZ2" s="4" t="s">
        <v>14</v>
      </c>
      <c r="BA2" s="4" t="s">
        <v>121</v>
      </c>
      <c r="BB2" s="4" t="s">
        <v>17</v>
      </c>
      <c r="BC2" s="4" t="s">
        <v>31</v>
      </c>
      <c r="BD2" s="4" t="s">
        <v>19</v>
      </c>
      <c r="BE2" s="4" t="s">
        <v>93</v>
      </c>
      <c r="BF2" s="4" t="s">
        <v>20</v>
      </c>
      <c r="BG2" s="4" t="s">
        <v>21</v>
      </c>
      <c r="BH2" s="4" t="s">
        <v>22</v>
      </c>
      <c r="BI2" s="4" t="s">
        <v>23</v>
      </c>
      <c r="BJ2" s="4" t="s">
        <v>24</v>
      </c>
    </row>
    <row r="3" spans="1:63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_xlfn.XLOOKUP($BK$1&amp;LEFT($D3,6)&amp;$H3&amp;$J3,_Precios!$S:$S,_Precios!H:H,0)*_xlfn.XLOOKUP($O3,_Tarifas!$A:$A,_Tarifas!C:C,0)*(1+0.01*_xlfn.NUMBERVALUE(SUBSTITUTE($L3,".",",")))</f>
        <v>0</v>
      </c>
      <c r="V3" s="13">
        <f ca="1">_xlfn.XLOOKUP($BK$1&amp;LEFT($D3,6)&amp;$H3&amp;$J3,_Precios!$S:$S,_Precios!I:I,0)*_xlfn.XLOOKUP($O3,_Tarifas!$A:$A,_Tarifas!C:C,0)*(1+0.01*_xlfn.NUMBERVALUE(SUBSTITUTE($L3,".",",")))</f>
        <v>0</v>
      </c>
      <c r="W3" s="13">
        <f ca="1">_xlfn.XLOOKUP($BK$1&amp;LEFT($D3,6)&amp;$H3&amp;$J3,_Precios!$S:$S,_Precios!J:J,0)*_xlfn.XLOOKUP($O3,_Tarifas!$A:$A,_Tarifas!C:C,0)*(1+0.01*_xlfn.NUMBERVALUE(SUBSTITUTE($L3,".",",")))</f>
        <v>0</v>
      </c>
      <c r="X3" s="13">
        <f ca="1">_xlfn.XLOOKUP($BK$1&amp;LEFT($D3,6)&amp;$H3&amp;$J3,_Precios!$S:$S,_Precios!K:K,0)</f>
        <v>0</v>
      </c>
      <c r="Y3" s="13">
        <f ca="1">_xlfn.XLOOKUP($BK$1&amp;LEFT($D3,6)&amp;$H3&amp;$J3,_Precios!$S:$S,_Precios!L:L,0)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0"/>
      <c r="AD3" s="19" t="s">
        <v>96</v>
      </c>
      <c r="AE3" s="20"/>
      <c r="AF3" s="17"/>
      <c r="AG3" s="30"/>
      <c r="AH3" s="22" t="s">
        <v>96</v>
      </c>
      <c r="AI3" s="22" t="s">
        <v>96</v>
      </c>
      <c r="AJ3" s="24"/>
      <c r="AK3" s="24"/>
      <c r="AL3" s="24"/>
      <c r="AM3" s="22" t="s">
        <v>96</v>
      </c>
      <c r="AN3" s="23"/>
      <c r="AO3" s="23"/>
      <c r="AP3" s="23"/>
      <c r="AQ3" s="23"/>
      <c r="AR3" s="23"/>
      <c r="AS3" s="26"/>
      <c r="AT3" s="18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</sheetData>
  <autoFilter ref="A2:BJ3" xr:uid="{00000000-0009-0000-0000-000000000000}"/>
  <conditionalFormatting sqref="A3:BJ9988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2026-03-13T11:49:09Z</dcterms:modified>
</cp:coreProperties>
</file>