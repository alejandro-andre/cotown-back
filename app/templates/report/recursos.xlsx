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oimbra\cotown\back\app\templates\report\"/>
    </mc:Choice>
  </mc:AlternateContent>
  <xr:revisionPtr revIDLastSave="0" documentId="13_ncr:1_{78A881E8-FF2B-4ADE-A757-29904FD908C6}" xr6:coauthVersionLast="47" xr6:coauthVersionMax="47" xr10:uidLastSave="{00000000-0000-0000-0000-000000000000}"/>
  <bookViews>
    <workbookView xWindow="-108" yWindow="-108" windowWidth="23256" windowHeight="12456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Recursos!$A$2:$BG$3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" i="37" l="1"/>
  <c r="X3" i="37" s="1"/>
  <c r="S3" i="39"/>
  <c r="Y3" i="37" l="1"/>
  <c r="V3" i="37"/>
  <c r="W3" i="37"/>
  <c r="U3" i="37"/>
  <c r="Z3" i="37" l="1"/>
  <c r="AB3" i="37"/>
  <c r="AA3" i="37"/>
</calcChain>
</file>

<file path=xl/sharedStrings.xml><?xml version="1.0" encoding="utf-8"?>
<sst xmlns="http://schemas.openxmlformats.org/spreadsheetml/2006/main" count="160" uniqueCount="148">
  <si>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</si>
  <si>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</si>
  <si>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</si>
  <si>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</si>
  <si>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</si>
  <si>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</si>
  <si>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</si>
  <si>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</si>
  <si>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</si>
  <si>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</si>
  <si>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</si>
  <si>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</si>
  <si>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</si>
  <si>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</si>
  <si>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</si>
  <si>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</si>
  <si>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</si>
  <si>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</si>
  <si>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</si>
  <si>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</si>
  <si>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</si>
  <si>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</si>
  <si>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</si>
  <si>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</si>
  <si>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</si>
  <si>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</si>
  <si>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</si>
  <si>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</si>
  <si>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</si>
  <si>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</si>
  <si>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</si>
  <si>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</si>
  <si>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</si>
  <si>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</si>
  <si>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</si>
  <si>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</si>
  <si>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</si>
  <si>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</si>
  <si>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</si>
  <si>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</si>
  <si>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</si>
  <si>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</si>
  <si>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</si>
  <si>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</si>
  <si>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</si>
  <si>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</si>
  <si>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</si>
  <si>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</si>
  <si>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</si>
  <si>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</si>
  <si>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</si>
  <si>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</si>
  <si>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</si>
  <si>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</si>
  <si>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</si>
  <si>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</si>
  <si>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</si>
  <si>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</si>
  <si>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</si>
  <si>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</si>
  <si>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</si>
  <si>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</si>
  <si>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</si>
  <si>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</si>
  <si>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</si>
  <si>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</si>
  <si>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</si>
  <si>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</si>
  <si>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</si>
  <si>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</si>
  <si>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</si>
  <si>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</si>
  <si>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</si>
  <si>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</si>
  <si>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</si>
  <si>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</si>
  <si>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</si>
  <si>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</si>
  <si>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</si>
  <si>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</si>
  <si>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</si>
  <si>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</si>
  <si>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</si>
  <si>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</si>
  <si>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</si>
  <si>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</si>
  <si>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</si>
  <si>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</si>
  <si>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</si>
  <si>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</si>
  <si>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</si>
  <si>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</si>
  <si>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</si>
  <si>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</si>
  <si>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</si>
  <si>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</si>
  <si>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</si>
  <si>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</si>
  <si>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</si>
  <si>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</si>
  <si>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</si>
  <si>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</si>
  <si>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</si>
  <si>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</si>
  <si>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</si>
  <si>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</si>
  <si>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</si>
  <si>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</si>
  <si>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</si>
  <si>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</si>
  <si>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</si>
  <si>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</si>
  <si>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</si>
  <si>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</si>
  <si>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</si>
  <si>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</si>
  <si>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</si>
  <si>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</si>
  <si>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</si>
  <si>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</si>
  <si>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Superficie m2 sin comunes</t>
  </si>
  <si>
    <t>Area_woc</t>
  </si>
  <si>
    <t>Management_fee_no_cleaning</t>
  </si>
  <si>
    <t>Management_fee_weekly</t>
  </si>
  <si>
    <t>Management_fee_biweekly</t>
  </si>
  <si>
    <t>Management_fee_monthly</t>
  </si>
  <si>
    <t>M. Fee
Servicios aparte</t>
  </si>
  <si>
    <t>M. Fee
Sin
limpieza</t>
  </si>
  <si>
    <t>M. Fee
Limpieza semanal</t>
  </si>
  <si>
    <t>M. Fee
Limpieza quincenal</t>
  </si>
  <si>
    <t>M. Fee
Limpieza mensual</t>
  </si>
  <si>
    <t>Fecha fin reforma</t>
  </si>
  <si>
    <t>Certificado energético</t>
  </si>
  <si>
    <t>Valor certificado energético</t>
  </si>
  <si>
    <t>Fecha fin rehab</t>
  </si>
  <si>
    <t>Fecha fin útimo LAU</t>
  </si>
  <si>
    <t>Renta ultimo LAU</t>
  </si>
  <si>
    <t>Valor índice</t>
  </si>
  <si>
    <t>Mobiliario</t>
  </si>
  <si>
    <t>Big_renovation_date</t>
  </si>
  <si>
    <t>Renovation_date</t>
  </si>
  <si>
    <t>Energy_certificate</t>
  </si>
  <si>
    <t>Energy_certificate_rate</t>
  </si>
  <si>
    <t>Last_LAU_date</t>
  </si>
  <si>
    <t>Last_LAU_rent</t>
  </si>
  <si>
    <t>Index_rent</t>
  </si>
  <si>
    <t>Max_services</t>
  </si>
  <si>
    <t>Max_furniture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</si>
</sst>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#,##0\ &quot;€&quot;;[Red]\-#,##0\ &quot;€&quot;"/>
    <numFmt numFmtId="8" formatCode="#,##0.00\ &quot;€&quot;;[Red]\-#,##0.00\ &quot;€&quot;"/>
    <numFmt numFmtId="164" formatCode="#,##0.00\ &quot;€&quot;"/>
    <numFmt numFmtId="165" formatCode="0.000000"/>
    <numFmt numFmtId="166" formatCode="0.000%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8A8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2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66" fontId="3" fillId="0" borderId="2" xfId="3" applyNumberFormat="1" applyFont="1" applyBorder="1"/>
    <xf numFmtId="14" fontId="3" fillId="0" borderId="2" xfId="0" quotePrefix="1" applyNumberFormat="1" applyFont="1" applyBorder="1"/>
    <xf numFmtId="0" fontId="6" fillId="6" borderId="0" xfId="0" applyFont="1" applyFill="1" applyAlignment="1">
      <alignment horizontal="center" wrapText="1"/>
    </xf>
    <xf numFmtId="14" fontId="3" fillId="7" borderId="2" xfId="0" applyNumberFormat="1" applyFont="1" applyFill="1" applyBorder="1" applyAlignment="1">
      <alignment horizontal="center"/>
    </xf>
    <xf numFmtId="8" fontId="3" fillId="7" borderId="2" xfId="0" applyNumberFormat="1" applyFont="1" applyFill="1" applyBorder="1" applyAlignment="1">
      <alignment horizontal="right"/>
    </xf>
    <xf numFmtId="0" fontId="3" fillId="7" borderId="2" xfId="0" applyFont="1" applyFill="1" applyBorder="1" applyAlignment="1">
      <alignment horizontal="left"/>
    </xf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8A80"/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3"/>
  <sheetViews>
    <sheetView showGridLines="0" tabSelected="1" workbookViewId="0"/>
  </sheetViews>
  <sheetFormatPr baseColWidth="10" defaultColWidth="24.88671875" defaultRowHeight="13.2" x14ac:dyDescent="0.25"/>
  <cols>
    <col min="1" max="2" width="37.33203125" style="2" customWidth="1"/>
    <col min="3" max="4" width="20.44140625" style="2" bestFit="1" customWidth="1"/>
    <col min="5" max="6" width="20.44140625" style="2" customWidth="1"/>
    <col min="7" max="7" width="13.33203125" style="2" bestFit="1" customWidth="1"/>
    <col min="8" max="8" width="26.6640625" style="2" bestFit="1" customWidth="1"/>
    <col min="9" max="9" width="20.6640625" style="2" bestFit="1" customWidth="1"/>
    <col min="10" max="10" width="29.33203125" style="2" bestFit="1" customWidth="1"/>
    <col min="11" max="11" width="11.109375" style="2" bestFit="1" customWidth="1"/>
    <col min="12" max="12" width="5.88671875" style="2" customWidth="1"/>
    <col min="13" max="13" width="14.33203125" style="2" bestFit="1" customWidth="1"/>
    <col min="14" max="14" width="12.44140625" style="2" bestFit="1" customWidth="1"/>
    <col min="15" max="15" width="20.109375" style="2" bestFit="1" customWidth="1"/>
    <col min="16" max="20" width="12.33203125" style="2" customWidth="1"/>
    <col min="21" max="28" width="9.5546875" style="2" customWidth="1"/>
    <col min="29" max="29" width="30" style="2" customWidth="1"/>
    <col min="30" max="30" width="10.6640625" style="2" customWidth="1"/>
    <col min="31" max="31" width="30" style="2" customWidth="1"/>
    <col min="32" max="32" width="24.6640625" style="2" customWidth="1"/>
    <col min="33" max="33" width="11.88671875" style="2" customWidth="1"/>
    <col min="34" max="35" width="10.6640625" style="2" customWidth="1"/>
    <col min="36" max="36" width="17.5546875" style="2" bestFit="1" customWidth="1"/>
    <col min="37" max="37" width="10.88671875" style="2" bestFit="1" customWidth="1"/>
    <col min="38" max="42" width="10.6640625" style="2" customWidth="1"/>
    <col min="43" max="43" width="11.88671875" style="2" customWidth="1"/>
    <col min="44" max="46" width="17.44140625" style="2" bestFit="1" customWidth="1"/>
    <col min="47" max="48" width="15.44140625" style="2" customWidth="1"/>
    <col min="49" max="50" width="13.5546875" style="2" bestFit="1" customWidth="1"/>
    <col min="51" max="51" width="12.6640625" style="2" bestFit="1" customWidth="1"/>
    <col min="52" max="52" width="12.6640625" style="2" customWidth="1"/>
    <col min="53" max="54" width="13.6640625" style="2" bestFit="1" customWidth="1"/>
    <col min="55" max="58" width="16.88671875" style="2" customWidth="1"/>
    <col min="59" max="59" width="20.5546875" style="2" customWidth="1"/>
    <col min="60" max="60" width="5.44140625" style="2" bestFit="1" customWidth="1"/>
    <col min="61" max="16384" width="24.88671875" style="2"/>
  </cols>
  <sheetData>
    <row r="1" spans="1:60" s="1" customFormat="1" ht="37.799999999999997" x14ac:dyDescent="0.2">
      <c r="A1" s="3" t="s">
        <v>4</v>
      </c>
      <c r="B1" s="3" t="s">
        <v>68</v>
      </c>
      <c r="C1" s="3" t="s">
        <v>97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5</v>
      </c>
      <c r="P1" s="3" t="s">
        <v>126</v>
      </c>
      <c r="Q1" s="3" t="s">
        <v>127</v>
      </c>
      <c r="R1" s="3" t="s">
        <v>128</v>
      </c>
      <c r="S1" s="3" t="s">
        <v>129</v>
      </c>
      <c r="T1" s="3" t="s">
        <v>130</v>
      </c>
      <c r="U1" s="3" t="s">
        <v>62</v>
      </c>
      <c r="V1" s="3" t="s">
        <v>63</v>
      </c>
      <c r="W1" s="3" t="s">
        <v>64</v>
      </c>
      <c r="X1" s="3" t="s">
        <v>118</v>
      </c>
      <c r="Y1" s="3" t="s">
        <v>42</v>
      </c>
      <c r="Z1" s="3" t="s">
        <v>71</v>
      </c>
      <c r="AA1" s="3" t="s">
        <v>72</v>
      </c>
      <c r="AB1" s="3" t="s">
        <v>73</v>
      </c>
      <c r="AC1" s="3" t="s">
        <v>105</v>
      </c>
      <c r="AD1" s="3" t="s">
        <v>106</v>
      </c>
      <c r="AE1" s="3" t="s">
        <v>109</v>
      </c>
      <c r="AF1" s="3" t="s">
        <v>84</v>
      </c>
      <c r="AG1" s="3" t="s">
        <v>101</v>
      </c>
      <c r="AH1" s="22" t="s">
        <v>134</v>
      </c>
      <c r="AI1" s="22" t="s">
        <v>131</v>
      </c>
      <c r="AJ1" s="22" t="s">
        <v>132</v>
      </c>
      <c r="AK1" s="22" t="s">
        <v>133</v>
      </c>
      <c r="AL1" s="22" t="s">
        <v>135</v>
      </c>
      <c r="AM1" s="22" t="s">
        <v>136</v>
      </c>
      <c r="AN1" s="22" t="s">
        <v>137</v>
      </c>
      <c r="AO1" s="22" t="s">
        <v>42</v>
      </c>
      <c r="AP1" s="22" t="s">
        <v>138</v>
      </c>
      <c r="AQ1" s="3" t="s">
        <v>99</v>
      </c>
      <c r="AR1" s="3" t="s">
        <v>87</v>
      </c>
      <c r="AS1" s="3" t="s">
        <v>88</v>
      </c>
      <c r="AT1" s="3" t="s">
        <v>89</v>
      </c>
      <c r="AU1" s="3" t="s">
        <v>13</v>
      </c>
      <c r="AV1" s="3" t="s">
        <v>12</v>
      </c>
      <c r="AW1" s="3" t="s">
        <v>15</v>
      </c>
      <c r="AX1" s="3" t="s">
        <v>120</v>
      </c>
      <c r="AY1" s="3" t="s">
        <v>16</v>
      </c>
      <c r="AZ1" s="3" t="s">
        <v>32</v>
      </c>
      <c r="BA1" s="3" t="s">
        <v>18</v>
      </c>
      <c r="BB1" s="3" t="s">
        <v>94</v>
      </c>
      <c r="BC1" s="3" t="s">
        <v>25</v>
      </c>
      <c r="BD1" s="3" t="s">
        <v>26</v>
      </c>
      <c r="BE1" s="3" t="s">
        <v>27</v>
      </c>
      <c r="BF1" s="3" t="s">
        <v>28</v>
      </c>
      <c r="BG1" s="3" t="s">
        <v>29</v>
      </c>
      <c r="BH1" s="1">
        <f ca="1">IF(MONTH(TODAY())&gt;8,1+YEAR(TODAY()),YEAR(TODAY()))</f>
        <v>2026</v>
      </c>
    </row>
    <row r="2" spans="1:60" x14ac:dyDescent="0.25">
      <c r="A2" s="4" t="s">
        <v>67</v>
      </c>
      <c r="B2" s="4" t="s">
        <v>69</v>
      </c>
      <c r="C2" s="4" t="s">
        <v>98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30</v>
      </c>
      <c r="P2" s="4" t="s">
        <v>83</v>
      </c>
      <c r="Q2" s="4" t="s">
        <v>122</v>
      </c>
      <c r="R2" s="4" t="s">
        <v>123</v>
      </c>
      <c r="S2" s="4" t="s">
        <v>124</v>
      </c>
      <c r="T2" s="4" t="s">
        <v>125</v>
      </c>
      <c r="U2" s="4"/>
      <c r="V2" s="4"/>
      <c r="W2" s="4"/>
      <c r="X2" s="4"/>
      <c r="Y2" s="4"/>
      <c r="Z2" s="4"/>
      <c r="AA2" s="4"/>
      <c r="AB2" s="4"/>
      <c r="AC2" s="4" t="s">
        <v>107</v>
      </c>
      <c r="AD2" s="4" t="s">
        <v>108</v>
      </c>
      <c r="AE2" s="4" t="s">
        <v>110</v>
      </c>
      <c r="AF2" s="4" t="s">
        <v>85</v>
      </c>
      <c r="AG2" s="4" t="s">
        <v>102</v>
      </c>
      <c r="AH2" s="4" t="s">
        <v>139</v>
      </c>
      <c r="AI2" s="4" t="s">
        <v>140</v>
      </c>
      <c r="AJ2" s="4" t="s">
        <v>141</v>
      </c>
      <c r="AK2" s="4" t="s">
        <v>142</v>
      </c>
      <c r="AL2" s="4" t="s">
        <v>143</v>
      </c>
      <c r="AM2" s="4" t="s">
        <v>144</v>
      </c>
      <c r="AN2" s="4" t="s">
        <v>145</v>
      </c>
      <c r="AO2" s="4" t="s">
        <v>146</v>
      </c>
      <c r="AP2" s="4" t="s">
        <v>147</v>
      </c>
      <c r="AQ2" s="4" t="s">
        <v>100</v>
      </c>
      <c r="AR2" s="4" t="s">
        <v>90</v>
      </c>
      <c r="AS2" s="4" t="s">
        <v>91</v>
      </c>
      <c r="AT2" s="4" t="s">
        <v>92</v>
      </c>
      <c r="AU2" s="4" t="s">
        <v>10</v>
      </c>
      <c r="AV2" s="4" t="s">
        <v>11</v>
      </c>
      <c r="AW2" s="4" t="s">
        <v>14</v>
      </c>
      <c r="AX2" s="4" t="s">
        <v>121</v>
      </c>
      <c r="AY2" s="4" t="s">
        <v>17</v>
      </c>
      <c r="AZ2" s="4" t="s">
        <v>31</v>
      </c>
      <c r="BA2" s="4" t="s">
        <v>19</v>
      </c>
      <c r="BB2" s="4" t="s">
        <v>93</v>
      </c>
      <c r="BC2" s="4" t="s">
        <v>20</v>
      </c>
      <c r="BD2" s="4" t="s">
        <v>21</v>
      </c>
      <c r="BE2" s="4" t="s">
        <v>22</v>
      </c>
      <c r="BF2" s="4" t="s">
        <v>23</v>
      </c>
      <c r="BG2" s="4" t="s">
        <v>24</v>
      </c>
    </row>
    <row r="3" spans="1:60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0"/>
      <c r="R3" s="10"/>
      <c r="S3" s="10"/>
      <c r="T3" s="10"/>
      <c r="U3" s="13">
        <f ca="1">_xlfn.XLOOKUP($BH$1&amp;LEFT($D3,6)&amp;$H3&amp;$J3,_Precios!$S:$S,_Precios!H:H,0)*_xlfn.XLOOKUP($O3,_Tarifas!$A:$A,_Tarifas!C:C,0)*(1+0.01*_xlfn.NUMBERVALUE(SUBSTITUTE($L3,".",",")))</f>
        <v>0</v>
      </c>
      <c r="V3" s="13">
        <f ca="1">_xlfn.XLOOKUP($BH$1&amp;LEFT($D3,6)&amp;$H3&amp;$J3,_Precios!$S:$S,_Precios!I:I,0)*_xlfn.XLOOKUP($O3,_Tarifas!$A:$A,_Tarifas!C:C,0)*(1+0.01*_xlfn.NUMBERVALUE(SUBSTITUTE($L3,".",",")))</f>
        <v>0</v>
      </c>
      <c r="W3" s="13">
        <f ca="1">_xlfn.XLOOKUP($BH$1&amp;LEFT($D3,6)&amp;$H3&amp;$J3,_Precios!$S:$S,_Precios!J:J,0)*_xlfn.XLOOKUP($O3,_Tarifas!$A:$A,_Tarifas!C:C,0)*(1+0.01*_xlfn.NUMBERVALUE(SUBSTITUTE($L3,".",",")))</f>
        <v>0</v>
      </c>
      <c r="X3" s="13">
        <f ca="1">_xlfn.XLOOKUP($BH$1&amp;LEFT($D3,6)&amp;$H3&amp;$J3,_Precios!$S:$S,_Precios!K:K,0)</f>
        <v>0</v>
      </c>
      <c r="Y3" s="13">
        <f ca="1">_xlfn.XLOOKUP($BH$1&amp;LEFT($D3,6)&amp;$H3&amp;$J3,_Precios!$S:$S,_Precios!L:L,0)</f>
        <v>0</v>
      </c>
      <c r="Z3" s="13">
        <f t="shared" ref="Z3" ca="1" si="0">$U3+$Y3</f>
        <v>0</v>
      </c>
      <c r="AA3" s="13">
        <f t="shared" ref="AA3" ca="1" si="1">$V3+$Y3</f>
        <v>0</v>
      </c>
      <c r="AB3" s="13">
        <f t="shared" ref="AB3" ca="1" si="2">$W3+$Y3</f>
        <v>0</v>
      </c>
      <c r="AC3" s="21"/>
      <c r="AD3" s="19" t="s">
        <v>96</v>
      </c>
      <c r="AE3" s="21"/>
      <c r="AF3" s="17"/>
      <c r="AG3" s="20"/>
      <c r="AH3" s="23" t="s">
        <v>96</v>
      </c>
      <c r="AI3" s="23" t="s">
        <v>96</v>
      </c>
      <c r="AJ3" s="25"/>
      <c r="AK3" s="25"/>
      <c r="AL3" s="23" t="s">
        <v>96</v>
      </c>
      <c r="AM3" s="24"/>
      <c r="AN3" s="24"/>
      <c r="AO3" s="24"/>
      <c r="AP3" s="24"/>
      <c r="AQ3" s="18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</row>
  </sheetData>
  <autoFilter ref="A2:BG3" xr:uid="{00000000-0009-0000-0000-000000000000}"/>
  <conditionalFormatting sqref="A3:BG9990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8671875" defaultRowHeight="13.2" x14ac:dyDescent="0.25"/>
  <cols>
    <col min="1" max="1" width="20.44140625" style="2" bestFit="1" customWidth="1"/>
    <col min="2" max="2" width="11.6640625" style="2" customWidth="1"/>
    <col min="3" max="6" width="14" style="2" customWidth="1"/>
    <col min="7" max="16384" width="24.88671875" style="2"/>
  </cols>
  <sheetData>
    <row r="1" spans="1:6" s="1" customFormat="1" ht="23.25" customHeight="1" x14ac:dyDescent="0.2">
      <c r="A1" s="3" t="s">
        <v>33</v>
      </c>
      <c r="B1" s="3" t="s">
        <v>116</v>
      </c>
      <c r="C1" s="3" t="s">
        <v>114</v>
      </c>
      <c r="D1" s="3" t="s">
        <v>113</v>
      </c>
      <c r="E1" s="3" t="s">
        <v>111</v>
      </c>
      <c r="F1" s="3" t="s">
        <v>112</v>
      </c>
    </row>
    <row r="2" spans="1:6" x14ac:dyDescent="0.25">
      <c r="A2" s="4" t="s">
        <v>95</v>
      </c>
      <c r="B2" s="4" t="s">
        <v>117</v>
      </c>
      <c r="C2" s="4" t="s">
        <v>103</v>
      </c>
      <c r="D2" s="4" t="s">
        <v>104</v>
      </c>
      <c r="E2" s="4" t="s">
        <v>86</v>
      </c>
      <c r="F2" s="4" t="s">
        <v>115</v>
      </c>
    </row>
    <row r="3" spans="1:6" x14ac:dyDescent="0.25">
      <c r="A3" s="10"/>
      <c r="B3" s="19" t="s">
        <v>96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8671875" defaultRowHeight="13.2" x14ac:dyDescent="0.25"/>
  <cols>
    <col min="1" max="1" width="9.44140625" style="2" customWidth="1"/>
    <col min="2" max="2" width="16.5546875" style="2" bestFit="1" customWidth="1"/>
    <col min="3" max="3" width="16.5546875" style="2" customWidth="1"/>
    <col min="4" max="4" width="14.88671875" style="2" customWidth="1"/>
    <col min="5" max="5" width="24.6640625" style="2" bestFit="1" customWidth="1"/>
    <col min="6" max="6" width="14.88671875" style="2" customWidth="1"/>
    <col min="7" max="7" width="40.6640625" style="2" bestFit="1" customWidth="1"/>
    <col min="8" max="18" width="17.6640625" style="2" customWidth="1"/>
    <col min="19" max="16384" width="24.88671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118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119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4140625" defaultRowHeight="13.2" x14ac:dyDescent="0.25"/>
  <cols>
    <col min="1" max="1" width="7.88671875" style="2" bestFit="1" customWidth="1"/>
    <col min="2" max="2" width="20.33203125" style="2" customWidth="1"/>
    <col min="3" max="3" width="13.5546875" style="2" bestFit="1" customWidth="1"/>
    <col min="4" max="16384" width="11.441406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Props1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2026-03-09T23:58:32Z</dcterms:modified>
</cp:coreProperties>
</file>