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47165AC0-996B-47CB-BDEB-1ED40CAE5D4A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Forecast" sheetId="1" r:id="rId1"/>
  </sheets>
  <definedNames>
    <definedName name="_xlnm._FilterDatabase" localSheetId="0" hidden="1">Forecast!$A$1:$AB$1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/>
  <c r="V3" i="1"/>
  <c r="AC1" i="1"/>
  <c r="L3" i="1"/>
  <c r="X3" i="1" s="1"/>
  <c r="S3" i="1" l="1"/>
  <c r="U3" i="1" s="1"/>
</calcChain>
</file>

<file path=xl/sharedStrings.xml><?xml version="1.0" encoding="utf-8"?>
<sst xmlns="http://schemas.openxmlformats.org/spreadsheetml/2006/main" count="45" uniqueCount="44">
  <si>
    <t>Resource</t>
  </si>
  <si>
    <t>%
Long</t>
  </si>
  <si>
    <t>%
Medium</t>
  </si>
  <si>
    <t>%
Short</t>
  </si>
  <si>
    <t>%
Group</t>
  </si>
  <si>
    <t>Month</t>
  </si>
  <si>
    <t>date</t>
  </si>
  <si>
    <t>Total
Services</t>
  </si>
  <si>
    <t>Booking
fee</t>
  </si>
  <si>
    <t>Final cleaning</t>
  </si>
  <si>
    <t>Date_price</t>
  </si>
  <si>
    <t>Resource.Code</t>
  </si>
  <si>
    <t>Occupancy</t>
  </si>
  <si>
    <t>Rent_long</t>
  </si>
  <si>
    <t>Rent_medium</t>
  </si>
  <si>
    <t>Rent_short</t>
  </si>
  <si>
    <t>Services</t>
  </si>
  <si>
    <t>Final_cleaning</t>
  </si>
  <si>
    <t>Booking_fee</t>
  </si>
  <si>
    <t>% Occup.</t>
  </si>
  <si>
    <t>%
Discount</t>
  </si>
  <si>
    <t>Discount</t>
  </si>
  <si>
    <t>Forecast beds</t>
  </si>
  <si>
    <t>Beds</t>
  </si>
  <si>
    <t>Pct_long</t>
  </si>
  <si>
    <t>Pct_short</t>
  </si>
  <si>
    <t>Pct_medium</t>
  </si>
  <si>
    <t>Rate
Long</t>
  </si>
  <si>
    <t>Rate
Medium</t>
  </si>
  <si>
    <t>Rate
Short</t>
  </si>
  <si>
    <t>Rate
Group</t>
  </si>
  <si>
    <t>Rent_group</t>
  </si>
  <si>
    <t>Income</t>
  </si>
  <si>
    <t>Mgmt Fee</t>
  </si>
  <si>
    <t>Revpob</t>
  </si>
  <si>
    <t>Revpab</t>
  </si>
  <si>
    <t>MPR per bed</t>
  </si>
  <si>
    <t>%
Mgmt Fee</t>
  </si>
  <si>
    <t>Reinvoices</t>
  </si>
  <si>
    <t>Current
Long</t>
  </si>
  <si>
    <t>Current
Medium</t>
  </si>
  <si>
    <t>Current
Short</t>
  </si>
  <si>
    <t>Current
Group</t>
  </si>
  <si>
    <t>Available beds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</si>
</sst>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mm/yyyy"/>
    <numFmt numFmtId="166" formatCode="#,##0%;[Red]\-#,##0%"/>
    <numFmt numFmtId="167" formatCode="#,##0.0\ &quot;€&quot;"/>
    <numFmt numFmtId="168" formatCode="#,##0.0"/>
  </numFmts>
  <fonts count="9" x14ac:knownFonts="1">
    <font>
      <sz val="10"/>
      <name val="Arial"/>
    </font>
    <font>
      <sz val="10"/>
      <name val="Arial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b/>
      <sz val="11"/>
      <name val="Century Gothic"/>
      <family val="2"/>
    </font>
    <font>
      <sz val="8"/>
      <name val="Arial"/>
      <family val="2"/>
    </font>
    <font>
      <sz val="8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auto="1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auto="1"/>
      </right>
      <top/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34">
    <xf numFmtId="0" fontId="0" fillId="0" borderId="0" xfId="0"/>
    <xf numFmtId="0" fontId="2" fillId="0" borderId="0" xfId="0" applyFont="1"/>
    <xf numFmtId="165" fontId="2" fillId="0" borderId="0" xfId="0" applyNumberFormat="1" applyFont="1"/>
    <xf numFmtId="0" fontId="5" fillId="3" borderId="0" xfId="0" applyFont="1" applyFill="1" applyAlignment="1">
      <alignment horizontal="center" wrapText="1"/>
    </xf>
    <xf numFmtId="164" fontId="2" fillId="0" borderId="3" xfId="0" applyNumberFormat="1" applyFont="1" applyBorder="1"/>
    <xf numFmtId="9" fontId="2" fillId="0" borderId="3" xfId="0" applyNumberFormat="1" applyFont="1" applyBorder="1"/>
    <xf numFmtId="9" fontId="2" fillId="0" borderId="2" xfId="0" applyNumberFormat="1" applyFont="1" applyBorder="1"/>
    <xf numFmtId="0" fontId="2" fillId="0" borderId="1" xfId="0" applyFont="1" applyBorder="1"/>
    <xf numFmtId="0" fontId="6" fillId="0" borderId="0" xfId="0" applyFont="1" applyAlignment="1">
      <alignment horizontal="left"/>
    </xf>
    <xf numFmtId="165" fontId="2" fillId="0" borderId="1" xfId="0" applyNumberFormat="1" applyFont="1" applyBorder="1" applyAlignment="1">
      <alignment horizontal="center"/>
    </xf>
    <xf numFmtId="166" fontId="2" fillId="4" borderId="4" xfId="0" applyNumberFormat="1" applyFont="1" applyFill="1" applyBorder="1"/>
    <xf numFmtId="0" fontId="3" fillId="0" borderId="0" xfId="0" applyFont="1" applyAlignment="1">
      <alignment horizontal="center" vertical="center"/>
    </xf>
    <xf numFmtId="0" fontId="2" fillId="0" borderId="2" xfId="0" applyFont="1" applyBorder="1"/>
    <xf numFmtId="0" fontId="5" fillId="3" borderId="6" xfId="0" applyFont="1" applyFill="1" applyBorder="1" applyAlignment="1">
      <alignment horizontal="center" wrapText="1"/>
    </xf>
    <xf numFmtId="0" fontId="5" fillId="3" borderId="7" xfId="0" applyFont="1" applyFill="1" applyBorder="1" applyAlignment="1">
      <alignment horizontal="center" wrapText="1"/>
    </xf>
    <xf numFmtId="167" fontId="2" fillId="4" borderId="5" xfId="0" applyNumberFormat="1" applyFont="1" applyFill="1" applyBorder="1"/>
    <xf numFmtId="167" fontId="2" fillId="0" borderId="3" xfId="0" applyNumberFormat="1" applyFont="1" applyBorder="1"/>
    <xf numFmtId="167" fontId="2" fillId="0" borderId="2" xfId="0" applyNumberFormat="1" applyFont="1" applyBorder="1"/>
    <xf numFmtId="167" fontId="2" fillId="4" borderId="3" xfId="0" applyNumberFormat="1" applyFont="1" applyFill="1" applyBorder="1"/>
    <xf numFmtId="167" fontId="2" fillId="4" borderId="2" xfId="0" applyNumberFormat="1" applyFont="1" applyFill="1" applyBorder="1"/>
    <xf numFmtId="167" fontId="2" fillId="4" borderId="7" xfId="0" applyNumberFormat="1" applyFont="1" applyFill="1" applyBorder="1"/>
    <xf numFmtId="167" fontId="2" fillId="4" borderId="0" xfId="0" applyNumberFormat="1" applyFont="1" applyFill="1"/>
    <xf numFmtId="167" fontId="2" fillId="4" borderId="8" xfId="0" applyNumberFormat="1" applyFont="1" applyFill="1" applyBorder="1"/>
    <xf numFmtId="9" fontId="2" fillId="4" borderId="3" xfId="0" applyNumberFormat="1" applyFont="1" applyFill="1" applyBorder="1"/>
    <xf numFmtId="167" fontId="2" fillId="4" borderId="4" xfId="0" applyNumberFormat="1" applyFont="1" applyFill="1" applyBorder="1"/>
    <xf numFmtId="0" fontId="5" fillId="3" borderId="9" xfId="0" applyFont="1" applyFill="1" applyBorder="1" applyAlignment="1">
      <alignment horizontal="center" wrapText="1"/>
    </xf>
    <xf numFmtId="0" fontId="8" fillId="2" borderId="0" xfId="0" applyFont="1" applyFill="1"/>
    <xf numFmtId="15" fontId="8" fillId="2" borderId="0" xfId="0" applyNumberFormat="1" applyFont="1" applyFill="1"/>
    <xf numFmtId="0" fontId="8" fillId="2" borderId="7" xfId="0" applyFont="1" applyFill="1" applyBorder="1"/>
    <xf numFmtId="15" fontId="8" fillId="2" borderId="7" xfId="0" applyNumberFormat="1" applyFont="1" applyFill="1" applyBorder="1"/>
    <xf numFmtId="0" fontId="8" fillId="2" borderId="9" xfId="0" applyFont="1" applyFill="1" applyBorder="1"/>
    <xf numFmtId="167" fontId="2" fillId="0" borderId="5" xfId="0" applyNumberFormat="1" applyFont="1" applyBorder="1"/>
    <xf numFmtId="10" fontId="2" fillId="0" borderId="0" xfId="0" applyNumberFormat="1" applyFont="1"/>
    <xf numFmtId="168" fontId="2" fillId="4" borderId="7" xfId="0" applyNumberFormat="1" applyFont="1" applyFill="1" applyBorder="1"/>
  </cellXfs>
  <cellStyles count="3">
    <cellStyle name="Hipervínculo 2" xfId="1" xr:uid="{00000000-0005-0000-0000-000001000000}"/>
    <cellStyle name="Normal" xfId="0" builtinId="0"/>
    <cellStyle name="Normal 2" xfId="2" xr:uid="{00000000-0005-0000-0000-000002000000}"/>
  </cellStyles>
  <dxfs count="1">
    <dxf>
      <font>
        <strike val="0"/>
      </font>
      <border>
        <top style="hair">
          <color auto="1"/>
        </top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A498"/>
      <color rgb="FF007E75"/>
      <color rgb="FF00F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"/>
  <sheetViews>
    <sheetView showGridLines="0" tabSelected="1" workbookViewId="0"/>
  </sheetViews>
  <sheetFormatPr baseColWidth="10" defaultColWidth="14.42578125" defaultRowHeight="13.5" x14ac:dyDescent="0.25"/>
  <cols>
    <col min="1" max="1" width="9.85546875" style="2" customWidth="1"/>
    <col min="2" max="2" width="14.140625" style="1" customWidth="1"/>
    <col min="3" max="3" width="8.7109375" style="1" customWidth="1"/>
    <col min="4" max="28" width="11.85546875" style="1" customWidth="1"/>
    <col min="29" max="29" width="10.7109375" style="1" bestFit="1" customWidth="1"/>
    <col min="30" max="16384" width="14.42578125" style="1"/>
  </cols>
  <sheetData>
    <row r="1" spans="1:29" s="11" customFormat="1" ht="25.5" x14ac:dyDescent="0.2">
      <c r="A1" s="3" t="s">
        <v>5</v>
      </c>
      <c r="B1" s="3" t="s">
        <v>0</v>
      </c>
      <c r="C1" s="3" t="s">
        <v>22</v>
      </c>
      <c r="D1" s="13" t="s">
        <v>19</v>
      </c>
      <c r="E1" s="3" t="s">
        <v>27</v>
      </c>
      <c r="F1" s="3" t="s">
        <v>28</v>
      </c>
      <c r="G1" s="3" t="s">
        <v>29</v>
      </c>
      <c r="H1" s="3" t="s">
        <v>30</v>
      </c>
      <c r="I1" s="14" t="s">
        <v>1</v>
      </c>
      <c r="J1" s="3" t="s">
        <v>2</v>
      </c>
      <c r="K1" s="3" t="s">
        <v>3</v>
      </c>
      <c r="L1" s="3" t="s">
        <v>4</v>
      </c>
      <c r="M1" s="14" t="s">
        <v>20</v>
      </c>
      <c r="N1" s="14" t="s">
        <v>7</v>
      </c>
      <c r="O1" s="3" t="s">
        <v>9</v>
      </c>
      <c r="P1" s="3" t="s">
        <v>8</v>
      </c>
      <c r="Q1" s="3" t="s">
        <v>38</v>
      </c>
      <c r="R1" s="14" t="s">
        <v>43</v>
      </c>
      <c r="S1" s="14" t="s">
        <v>32</v>
      </c>
      <c r="T1" s="14" t="s">
        <v>37</v>
      </c>
      <c r="U1" s="3" t="s">
        <v>33</v>
      </c>
      <c r="V1" s="14" t="s">
        <v>34</v>
      </c>
      <c r="W1" s="3" t="s">
        <v>35</v>
      </c>
      <c r="X1" s="3" t="s">
        <v>36</v>
      </c>
      <c r="Y1" s="14" t="s">
        <v>39</v>
      </c>
      <c r="Z1" s="3" t="s">
        <v>40</v>
      </c>
      <c r="AA1" s="3" t="s">
        <v>41</v>
      </c>
      <c r="AB1" s="25" t="s">
        <v>42</v>
      </c>
      <c r="AC1" s="8" t="e">
        <f>YEAR(A3)</f>
        <v>#VALUE!</v>
      </c>
    </row>
    <row r="2" spans="1:29" ht="14.25" x14ac:dyDescent="0.3">
      <c r="A2" s="26" t="s">
        <v>10</v>
      </c>
      <c r="B2" s="26" t="s">
        <v>11</v>
      </c>
      <c r="C2" s="26" t="s">
        <v>23</v>
      </c>
      <c r="D2" s="28" t="s">
        <v>12</v>
      </c>
      <c r="E2" s="28" t="s">
        <v>13</v>
      </c>
      <c r="F2" s="26" t="s">
        <v>14</v>
      </c>
      <c r="G2" s="26" t="s">
        <v>15</v>
      </c>
      <c r="H2" s="26" t="s">
        <v>31</v>
      </c>
      <c r="I2" s="28" t="s">
        <v>24</v>
      </c>
      <c r="J2" s="26" t="s">
        <v>26</v>
      </c>
      <c r="K2" s="26" t="s">
        <v>25</v>
      </c>
      <c r="L2" s="26"/>
      <c r="M2" s="28" t="s">
        <v>21</v>
      </c>
      <c r="N2" s="29" t="s">
        <v>16</v>
      </c>
      <c r="O2" s="27" t="s">
        <v>17</v>
      </c>
      <c r="P2" s="27" t="s">
        <v>18</v>
      </c>
      <c r="Q2" s="26" t="s">
        <v>38</v>
      </c>
      <c r="R2" s="28"/>
      <c r="S2" s="28"/>
      <c r="T2" s="26"/>
      <c r="U2" s="26"/>
      <c r="V2" s="28"/>
      <c r="W2" s="26"/>
      <c r="X2" s="26"/>
      <c r="Y2" s="28"/>
      <c r="Z2" s="26"/>
      <c r="AA2" s="26"/>
      <c r="AB2" s="30"/>
    </row>
    <row r="3" spans="1:29" x14ac:dyDescent="0.25">
      <c r="A3" s="9" t="s">
        <v>6</v>
      </c>
      <c r="B3" s="7"/>
      <c r="C3" s="12"/>
      <c r="D3" s="4"/>
      <c r="E3" s="16"/>
      <c r="F3" s="17"/>
      <c r="G3" s="17"/>
      <c r="H3" s="17"/>
      <c r="I3" s="5"/>
      <c r="J3" s="6"/>
      <c r="K3" s="6"/>
      <c r="L3" s="10">
        <f>1-SUM(I3:K3)</f>
        <v>1</v>
      </c>
      <c r="M3" s="32"/>
      <c r="N3" s="16"/>
      <c r="O3" s="31"/>
      <c r="P3" s="31"/>
      <c r="Q3" s="31"/>
      <c r="R3" s="33"/>
      <c r="S3" s="20">
        <f>C3*D3*SUMPRODUCT(E3:H3,I3:L3)*(1-M3)</f>
        <v>0</v>
      </c>
      <c r="T3" s="23"/>
      <c r="U3" s="22">
        <f>IF(OR(LEFT(B3,6)="PFC002",LEFT(B3,6)="SAR326"),S3/1.1*T3,S3*T3)</f>
        <v>0</v>
      </c>
      <c r="V3" s="21">
        <f>IF(C3*D3,S3/(C3*D3),0)</f>
        <v>0</v>
      </c>
      <c r="W3" s="15">
        <f>IF(C3,S3/C3,0)</f>
        <v>0</v>
      </c>
      <c r="X3" s="24">
        <f>SUMPRODUCT(E3:H3,I3:L3)</f>
        <v>0</v>
      </c>
      <c r="Y3" s="18"/>
      <c r="Z3" s="19"/>
      <c r="AA3" s="21"/>
      <c r="AB3" s="24"/>
    </row>
  </sheetData>
  <autoFilter ref="A1:AB1" xr:uid="{00000000-0001-0000-0000-000000000000}"/>
  <phoneticPr fontId="7" type="noConversion"/>
  <conditionalFormatting sqref="A3:AB99999">
    <cfRule type="expression" dxfId="0" priority="1">
      <formula>$A2&gt;$A3</formula>
    </cfRule>
  </conditionalFormatting>
  <pageMargins left="0.75" right="0.75" top="1" bottom="1" header="0.5" footer="0.5"/>
  <pageSetup orientation="portrait" horizontalDpi="300" verticalDpi="300" r:id="rId1"/>
  <ignoredErrors>
    <ignoredError sqref="AC1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2025-10-01T10:25:22Z</dcterms:modified>
</cp:coreProperties>
</file>