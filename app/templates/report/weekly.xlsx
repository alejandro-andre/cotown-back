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Development\projects\oimbra\cotown\back\app\templates\report\"/>
    </mc:Choice>
  </mc:AlternateContent>
  <xr:revisionPtr revIDLastSave="0" documentId="13_ncr:1_{067428D0-87D1-4BAC-A75D-9B46DC74A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" sheetId="1" r:id="rId1"/>
  </sheets>
  <definedNames>
    <definedName name="_xlnm._FilterDatabase" localSheetId="0" hidden="1">Weekly!$A$1:$AQ$1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U4" i="1" s="1"/>
  <c r="K4" i="1"/>
  <c r="O4" i="1"/>
  <c r="W4" i="1"/>
  <c r="AD4" i="1"/>
  <c r="AC4" i="1"/>
  <c r="X4" i="1" l="1"/>
  <c r="Y4" i="1" s="1"/>
</calcChain>
</file>

<file path=xl/sharedStrings.xml><?xml version="1.0" encoding="utf-8"?>
<sst xmlns="http://schemas.openxmlformats.org/spreadsheetml/2006/main" count="126" uniqueCount="78">
  <si>
    <t>Id</t>
  </si>
  <si>
    <t>Status</t>
  </si>
  <si>
    <t>Nombre</t>
  </si>
  <si>
    <t>Reserva hecha por</t>
  </si>
  <si>
    <t>Captación</t>
  </si>
  <si>
    <t>Canal de entrada</t>
  </si>
  <si>
    <t>Email</t>
  </si>
  <si>
    <t>Teléfono</t>
  </si>
  <si>
    <t>Edad</t>
  </si>
  <si>
    <t>Sexo</t>
  </si>
  <si>
    <t>Nacionalidad</t>
  </si>
  <si>
    <t>Continente</t>
  </si>
  <si>
    <t>¿Nacional?</t>
  </si>
  <si>
    <t>Escuela</t>
  </si>
  <si>
    <t>Idioma</t>
  </si>
  <si>
    <t>Fecha primer contacto</t>
  </si>
  <si>
    <t>Fecha pre reserva</t>
  </si>
  <si>
    <t>Reserva confirmada</t>
  </si>
  <si>
    <t>Días antelación solicitud reservas vs llegada</t>
  </si>
  <si>
    <t>Fecha de llegada</t>
  </si>
  <si>
    <t>Fecha de salida</t>
  </si>
  <si>
    <t>Duración reserva dias</t>
  </si>
  <si>
    <t>Duracion reservas meses</t>
  </si>
  <si>
    <t>Edificio</t>
  </si>
  <si>
    <t>Owner</t>
  </si>
  <si>
    <t>Localización</t>
  </si>
  <si>
    <t>Piso</t>
  </si>
  <si>
    <t>Habitación</t>
  </si>
  <si>
    <t>City code</t>
  </si>
  <si>
    <t>Tipo habitación</t>
  </si>
  <si>
    <t>Rack rate</t>
  </si>
  <si>
    <t>Servicios</t>
  </si>
  <si>
    <t>Total renta estancia (Confirmed rate)</t>
  </si>
  <si>
    <t>Marca</t>
  </si>
  <si>
    <t>Consumos incluidos</t>
  </si>
  <si>
    <t>Codigo de recurso</t>
  </si>
  <si>
    <t>Fecha de nacimiento</t>
  </si>
  <si>
    <t>Fecha inicio</t>
  </si>
  <si>
    <t>Fecha fin</t>
  </si>
  <si>
    <t>Check in</t>
  </si>
  <si>
    <t>Check out</t>
  </si>
  <si>
    <t>Campo</t>
  </si>
  <si>
    <t>Formula</t>
  </si>
  <si>
    <t>Booking_id</t>
  </si>
  <si>
    <t>Booking_status</t>
  </si>
  <si>
    <t>Customer.Name</t>
  </si>
  <si>
    <t>Booking_who.Name</t>
  </si>
  <si>
    <t>Booking_referral.Name</t>
  </si>
  <si>
    <t>Booking_channel.Name</t>
  </si>
  <si>
    <t>Customer.Email</t>
  </si>
  <si>
    <t>Customer.Phones</t>
  </si>
  <si>
    <t>Customer.Gender.Code</t>
  </si>
  <si>
    <t>Customer.Nationality.Name</t>
  </si>
  <si>
    <t>Customer.Nationality.Continent</t>
  </si>
  <si>
    <t>Customer.School.Name</t>
  </si>
  <si>
    <t>Customer.Language.Name</t>
  </si>
  <si>
    <t>Customer.Created_at</t>
  </si>
  <si>
    <t>Request_date</t>
  </si>
  <si>
    <t>Confirmation_date</t>
  </si>
  <si>
    <t>Resource.Building.Name</t>
  </si>
  <si>
    <t>Resource.Owner.Name</t>
  </si>
  <si>
    <t>Resource.Building.District.Location.Name</t>
  </si>
  <si>
    <t>Resource.Building.District.Location.Code</t>
  </si>
  <si>
    <t>Resource.Place_type.Name</t>
  </si>
  <si>
    <t>Rent</t>
  </si>
  <si>
    <t>Services</t>
  </si>
  <si>
    <t>Prices.Rent</t>
  </si>
  <si>
    <t>Resource.Building.Segment.Name</t>
  </si>
  <si>
    <t>Limit</t>
  </si>
  <si>
    <t>Resource.Code</t>
  </si>
  <si>
    <t>Customer.Birth_date</t>
  </si>
  <si>
    <t>Date_from</t>
  </si>
  <si>
    <t>Date_to</t>
  </si>
  <si>
    <t>Check_in</t>
  </si>
  <si>
    <t>Check_out</t>
  </si>
  <si>
    <t>date</t>
  </si>
  <si>
    <t>Intermediario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</si>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</sst>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Century Gothic"/>
      <family val="2"/>
    </font>
    <font>
      <sz val="8"/>
      <color rgb="FF000000"/>
      <name val="Century Gothic"/>
      <family val="2"/>
    </font>
    <font>
      <b/>
      <sz val="8"/>
      <color rgb="FF00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17BDBD"/>
      </patternFill>
    </fill>
    <fill>
      <patternFill patternType="solid">
        <fgColor rgb="FF0070C0"/>
      </patternFill>
    </fill>
    <fill>
      <patternFill patternType="solid">
        <fgColor rgb="FFBF9000"/>
      </patternFill>
    </fill>
    <fill>
      <patternFill patternType="solid">
        <fgColor rgb="FFD9D9D9"/>
      </patternFill>
    </fill>
    <fill>
      <patternFill patternType="solid">
        <fgColor rgb="FFF4B183"/>
      </patternFill>
    </fill>
    <fill>
      <patternFill patternType="solid">
        <fgColor rgb="FFA6A6A6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EA9DB"/>
      </bottom>
      <diagonal/>
    </border>
    <border>
      <left style="thin">
        <color rgb="FFC6C6C6"/>
      </left>
      <right style="thin">
        <color rgb="FFC6C6C6"/>
      </right>
      <top style="thin">
        <color rgb="FF8EA9DB"/>
      </top>
      <bottom style="thin">
        <color rgb="FF8EA9DB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5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" fontId="2" fillId="0" borderId="4" xfId="0" applyNumberFormat="1" applyFont="1" applyBorder="1" applyAlignment="1">
      <alignment horizontal="right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14" fontId="2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R4"/>
  <sheetViews>
    <sheetView showGridLines="0" tabSelected="1" workbookViewId="0"/>
  </sheetViews>
  <sheetFormatPr baseColWidth="10" defaultColWidth="9.109375" defaultRowHeight="14.4" x14ac:dyDescent="0.3"/>
  <cols>
    <col min="1" max="1" width="9.5546875" style="6" bestFit="1" customWidth="1"/>
    <col min="2" max="3" width="17.109375" style="6" bestFit="1" customWidth="1"/>
    <col min="4" max="4" width="40.33203125" style="6" customWidth="1"/>
    <col min="5" max="5" width="20.109375" style="6" bestFit="1" customWidth="1"/>
    <col min="6" max="6" width="18.88671875" style="6" bestFit="1" customWidth="1"/>
    <col min="7" max="7" width="19.6640625" style="6" bestFit="1" customWidth="1"/>
    <col min="8" max="8" width="19.6640625" style="6" customWidth="1"/>
    <col min="9" max="9" width="34.5546875" style="6" bestFit="1" customWidth="1"/>
    <col min="10" max="10" width="17" style="6" bestFit="1" customWidth="1"/>
    <col min="11" max="12" width="7" style="6" customWidth="1"/>
    <col min="13" max="13" width="28.5546875" style="6" bestFit="1" customWidth="1"/>
    <col min="14" max="14" width="25" style="6" bestFit="1" customWidth="1"/>
    <col min="15" max="15" width="14.44140625" style="6" bestFit="1" customWidth="1"/>
    <col min="16" max="16" width="38.33203125" style="6" bestFit="1" customWidth="1"/>
    <col min="17" max="17" width="21.5546875" style="6" bestFit="1" customWidth="1"/>
    <col min="18" max="20" width="10" style="7" customWidth="1"/>
    <col min="21" max="21" width="14.6640625" style="6" bestFit="1" customWidth="1"/>
    <col min="22" max="23" width="10" style="7" customWidth="1"/>
    <col min="24" max="25" width="10" style="6" bestFit="1" customWidth="1"/>
    <col min="26" max="26" width="21.5546875" style="6" bestFit="1" customWidth="1"/>
    <col min="27" max="27" width="48.5546875" style="6" bestFit="1" customWidth="1"/>
    <col min="28" max="28" width="11.5546875" style="6" customWidth="1"/>
    <col min="29" max="29" width="8.6640625" style="6" bestFit="1" customWidth="1"/>
    <col min="30" max="30" width="11.88671875" style="6" customWidth="1"/>
    <col min="31" max="31" width="9.33203125" style="6" customWidth="1"/>
    <col min="32" max="32" width="39" style="6" bestFit="1" customWidth="1"/>
    <col min="33" max="35" width="13.109375" style="8" bestFit="1" customWidth="1"/>
    <col min="36" max="36" width="9.88671875" style="6" bestFit="1" customWidth="1"/>
    <col min="37" max="37" width="11" style="6" customWidth="1"/>
    <col min="38" max="38" width="17.33203125" style="6" customWidth="1"/>
    <col min="39" max="43" width="10" style="6" customWidth="1"/>
  </cols>
  <sheetData>
    <row r="1" spans="1:44" s="10" customFormat="1" ht="51" customHeight="1" x14ac:dyDescent="0.3">
      <c r="A1" s="11" t="s">
        <v>0</v>
      </c>
      <c r="B1" s="11" t="s">
        <v>77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76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2" t="s">
        <v>18</v>
      </c>
      <c r="V1" s="11" t="s">
        <v>19</v>
      </c>
      <c r="W1" s="11" t="s">
        <v>20</v>
      </c>
      <c r="X1" s="12" t="s">
        <v>21</v>
      </c>
      <c r="Y1" s="12" t="s">
        <v>22</v>
      </c>
      <c r="Z1" s="11" t="s">
        <v>23</v>
      </c>
      <c r="AA1" s="12" t="s">
        <v>24</v>
      </c>
      <c r="AB1" s="12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2" t="s">
        <v>34</v>
      </c>
      <c r="AL1" s="13" t="s">
        <v>35</v>
      </c>
      <c r="AM1" s="13" t="s">
        <v>36</v>
      </c>
      <c r="AN1" s="13" t="s">
        <v>37</v>
      </c>
      <c r="AO1" s="13" t="s">
        <v>38</v>
      </c>
      <c r="AP1" s="13" t="s">
        <v>39</v>
      </c>
      <c r="AQ1" s="13" t="s">
        <v>40</v>
      </c>
    </row>
    <row r="2" spans="1:44" ht="50.25" hidden="1" customHeight="1" x14ac:dyDescent="0.3">
      <c r="A2" s="1" t="s">
        <v>41</v>
      </c>
      <c r="B2" s="1" t="s">
        <v>41</v>
      </c>
      <c r="C2" s="1" t="s">
        <v>41</v>
      </c>
      <c r="D2" s="1" t="s">
        <v>41</v>
      </c>
      <c r="E2" s="1" t="s">
        <v>41</v>
      </c>
      <c r="F2" s="1" t="s">
        <v>41</v>
      </c>
      <c r="G2" s="1" t="s">
        <v>41</v>
      </c>
      <c r="H2" s="1"/>
      <c r="I2" s="1" t="s">
        <v>41</v>
      </c>
      <c r="J2" s="1" t="s">
        <v>41</v>
      </c>
      <c r="K2" s="2" t="s">
        <v>42</v>
      </c>
      <c r="L2" s="1" t="s">
        <v>41</v>
      </c>
      <c r="M2" s="1" t="s">
        <v>41</v>
      </c>
      <c r="N2" s="1" t="s">
        <v>41</v>
      </c>
      <c r="O2" s="2" t="s">
        <v>42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2" t="s">
        <v>42</v>
      </c>
      <c r="V2" s="2" t="s">
        <v>42</v>
      </c>
      <c r="W2" s="2" t="s">
        <v>42</v>
      </c>
      <c r="X2" s="2" t="s">
        <v>42</v>
      </c>
      <c r="Y2" s="2" t="s">
        <v>42</v>
      </c>
      <c r="Z2" s="1" t="s">
        <v>41</v>
      </c>
      <c r="AA2" s="1" t="s">
        <v>41</v>
      </c>
      <c r="AB2" s="1" t="s">
        <v>41</v>
      </c>
      <c r="AC2" s="2" t="s">
        <v>42</v>
      </c>
      <c r="AD2" s="2" t="s">
        <v>42</v>
      </c>
      <c r="AE2" s="1" t="s">
        <v>41</v>
      </c>
      <c r="AF2" s="1" t="s">
        <v>41</v>
      </c>
      <c r="AG2" s="1" t="s">
        <v>41</v>
      </c>
      <c r="AH2" s="1" t="s">
        <v>41</v>
      </c>
      <c r="AI2" s="1" t="s">
        <v>41</v>
      </c>
      <c r="AJ2" s="1" t="s">
        <v>41</v>
      </c>
      <c r="AK2" s="1" t="s">
        <v>41</v>
      </c>
      <c r="AL2" s="1" t="s">
        <v>41</v>
      </c>
      <c r="AM2" s="1" t="s">
        <v>41</v>
      </c>
      <c r="AN2" s="1" t="s">
        <v>41</v>
      </c>
      <c r="AO2" s="1" t="s">
        <v>41</v>
      </c>
      <c r="AP2" s="1" t="s">
        <v>41</v>
      </c>
      <c r="AQ2" s="1" t="s">
        <v>41</v>
      </c>
    </row>
    <row r="3" spans="1:44" ht="50.25" hidden="1" customHeight="1" x14ac:dyDescent="0.3">
      <c r="A3" s="3" t="s">
        <v>43</v>
      </c>
      <c r="B3" s="3" t="s">
        <v>44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/>
      <c r="I3" s="3" t="s">
        <v>49</v>
      </c>
      <c r="J3" s="3" t="s">
        <v>50</v>
      </c>
      <c r="K3" s="3"/>
      <c r="L3" s="3" t="s">
        <v>51</v>
      </c>
      <c r="M3" s="3" t="s">
        <v>52</v>
      </c>
      <c r="N3" s="3" t="s">
        <v>53</v>
      </c>
      <c r="O3" s="3"/>
      <c r="P3" s="3" t="s">
        <v>54</v>
      </c>
      <c r="Q3" s="3" t="s">
        <v>55</v>
      </c>
      <c r="R3" s="4" t="s">
        <v>56</v>
      </c>
      <c r="S3" s="4" t="s">
        <v>57</v>
      </c>
      <c r="T3" s="4" t="s">
        <v>58</v>
      </c>
      <c r="U3" s="3"/>
      <c r="V3" s="4"/>
      <c r="W3" s="4"/>
      <c r="X3" s="3"/>
      <c r="Y3" s="3"/>
      <c r="Z3" s="3" t="s">
        <v>59</v>
      </c>
      <c r="AA3" s="3" t="s">
        <v>60</v>
      </c>
      <c r="AB3" s="3" t="s">
        <v>61</v>
      </c>
      <c r="AC3" s="3"/>
      <c r="AD3" s="3"/>
      <c r="AE3" s="3" t="s">
        <v>62</v>
      </c>
      <c r="AF3" s="3" t="s">
        <v>63</v>
      </c>
      <c r="AG3" s="3" t="s">
        <v>64</v>
      </c>
      <c r="AH3" s="3" t="s">
        <v>65</v>
      </c>
      <c r="AI3" s="3" t="s">
        <v>66</v>
      </c>
      <c r="AJ3" s="3" t="s">
        <v>67</v>
      </c>
      <c r="AK3" s="3" t="s">
        <v>68</v>
      </c>
      <c r="AL3" s="3" t="s">
        <v>69</v>
      </c>
      <c r="AM3" s="3" t="s">
        <v>70</v>
      </c>
      <c r="AN3" s="3" t="s">
        <v>71</v>
      </c>
      <c r="AO3" s="3" t="s">
        <v>72</v>
      </c>
      <c r="AP3" s="3" t="s">
        <v>73</v>
      </c>
      <c r="AQ3" s="3" t="s">
        <v>74</v>
      </c>
    </row>
    <row r="4" spans="1:44" ht="15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15" t="e">
        <f ca="1">IF(AM4&lt;&gt;"",ROUNDDOWN((NOW()-AM4)/365,0),"")</f>
        <v>#VALUE!</v>
      </c>
      <c r="L4" s="5"/>
      <c r="M4" s="5"/>
      <c r="N4" s="5"/>
      <c r="O4" s="5" t="str">
        <f t="shared" ref="O4" si="0">IF(M4="España","NATIONAL","INTERNATIONAL")</f>
        <v>INTERNATIONAL</v>
      </c>
      <c r="P4" s="5"/>
      <c r="Q4" s="5"/>
      <c r="R4" s="14" t="s">
        <v>75</v>
      </c>
      <c r="S4" s="14" t="s">
        <v>75</v>
      </c>
      <c r="T4" s="14" t="s">
        <v>75</v>
      </c>
      <c r="U4" s="15" t="e">
        <f>V4-S4</f>
        <v>#VALUE!</v>
      </c>
      <c r="V4" s="14" t="str">
        <f t="shared" ref="V4" si="1">IF(AP4&lt;&gt;"",AP4,AN4)</f>
        <v>date</v>
      </c>
      <c r="W4" s="14" t="str">
        <f t="shared" ref="W4" si="2">IF(AQ4&lt;&gt;"",AQ4,AO4)</f>
        <v>date</v>
      </c>
      <c r="X4" s="15" t="e">
        <f t="shared" ref="X4" si="3">W4-V4</f>
        <v>#VALUE!</v>
      </c>
      <c r="Y4" s="15" t="e">
        <f t="shared" ref="Y4" si="4">MROUND(X4/30,0.5)</f>
        <v>#VALUE!</v>
      </c>
      <c r="Z4" s="5"/>
      <c r="AA4" s="5"/>
      <c r="AB4" s="5"/>
      <c r="AC4" s="5" t="str">
        <f t="shared" ref="AC4" si="5">MID(AL4,8,5)</f>
        <v/>
      </c>
      <c r="AD4" s="5" t="str">
        <f t="shared" ref="AD4" si="6">MID(AL4,14,9)</f>
        <v/>
      </c>
      <c r="AE4" s="5"/>
      <c r="AF4" s="5"/>
      <c r="AG4" s="9"/>
      <c r="AH4" s="9"/>
      <c r="AI4" s="9"/>
      <c r="AJ4" s="5"/>
      <c r="AK4" s="9"/>
      <c r="AL4" s="5"/>
      <c r="AM4" s="14" t="s">
        <v>75</v>
      </c>
      <c r="AN4" s="14" t="s">
        <v>75</v>
      </c>
      <c r="AO4" s="14" t="s">
        <v>75</v>
      </c>
      <c r="AP4" s="14" t="s">
        <v>75</v>
      </c>
      <c r="AQ4" s="14" t="s">
        <v>75</v>
      </c>
      <c r="AR4" s="16"/>
    </row>
  </sheetData>
  <autoFilter ref="A1:AQ1" xr:uid="{00000000-0009-0000-0000-000000000000}"/>
  <pageMargins left="0.7" right="0.7" top="0.75" bottom="0.75" header="0.3" footer="0.3"/>
  <ignoredErrors>
    <ignoredError sqref="U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2023-06-18T14:06:38Z</dcterms:created>
  <dcterms:modified xsi:type="dcterms:W3CDTF">2026-05-11T10:47:18Z</dcterms:modified>
</cp:coreProperties>
</file>