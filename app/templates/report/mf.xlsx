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D2B5578C-C721-452D-8252-8FE4281DDFC5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Fee" sheetId="1" r:id="rId1"/>
  </sheets>
  <definedNames>
    <definedName name="_xlnm._FilterDatabase" localSheetId="0" hidden="1">Fee!$C$2:$P$2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J1" i="1"/>
  <c r="H1" i="1"/>
  <c r="J3" i="1"/>
  <c r="L3" i="1" s="1"/>
  <c r="M3" i="1" s="1"/>
  <c r="K1" i="1" l="1"/>
</calcChain>
</file>

<file path=xl/sharedStrings.xml><?xml version="1.0" encoding="utf-8"?>
<sst xmlns="http://schemas.openxmlformats.org/spreadsheetml/2006/main" count="20" uniqueCount="18">
  <si>
    <t>Recurso</t>
  </si>
  <si>
    <t>date</t>
  </si>
  <si>
    <t>Check
in</t>
  </si>
  <si>
    <t>Check
out</t>
  </si>
  <si>
    <t>Propietario</t>
  </si>
  <si>
    <t>Reserva</t>
  </si>
  <si>
    <t>Total</t>
  </si>
  <si>
    <t>Factura</t>
  </si>
  <si>
    <t>Importe</t>
  </si>
  <si>
    <t>Renta o Servicio</t>
  </si>
  <si>
    <t>Management Fee</t>
  </si>
  <si>
    <t>Importe Neto</t>
  </si>
  <si>
    <t>IVA</t>
  </si>
  <si>
    <t>Fecha</t>
  </si>
  <si>
    <t>Producto</t>
  </si>
  <si>
    <t>Management fee</t>
  </si>
  <si>
    <t>Grupo IVA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</si>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</sst>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9" fontId="8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8" fontId="3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right"/>
    </xf>
    <xf numFmtId="8" fontId="7" fillId="0" borderId="2" xfId="0" applyNumberFormat="1" applyFont="1" applyBorder="1" applyAlignment="1">
      <alignment horizontal="right" vertical="top"/>
    </xf>
    <xf numFmtId="8" fontId="7" fillId="0" borderId="0" xfId="0" applyNumberFormat="1" applyFont="1" applyAlignment="1">
      <alignment horizontal="right" vertical="top"/>
    </xf>
    <xf numFmtId="0" fontId="5" fillId="3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8" fontId="3" fillId="0" borderId="1" xfId="0" applyNumberFormat="1" applyFont="1" applyBorder="1" applyAlignment="1">
      <alignment horizontal="left" vertical="top"/>
    </xf>
    <xf numFmtId="8" fontId="7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0" fontId="5" fillId="3" borderId="0" xfId="0" applyFont="1" applyFill="1" applyAlignment="1">
      <alignment horizontal="centerContinuous" vertical="center" wrapText="1"/>
    </xf>
    <xf numFmtId="9" fontId="3" fillId="0" borderId="1" xfId="0" applyNumberFormat="1" applyFont="1" applyBorder="1" applyAlignment="1">
      <alignment horizontal="right" vertical="top"/>
    </xf>
    <xf numFmtId="9" fontId="3" fillId="0" borderId="1" xfId="3" applyFont="1" applyBorder="1" applyAlignment="1">
      <alignment horizontal="right" vertical="top"/>
    </xf>
    <xf numFmtId="10" fontId="7" fillId="0" borderId="4" xfId="3" applyNumberFormat="1" applyFont="1" applyBorder="1" applyAlignment="1">
      <alignment horizontal="right" vertical="top"/>
    </xf>
    <xf numFmtId="9" fontId="7" fillId="0" borderId="0" xfId="0" applyNumberFormat="1" applyFont="1" applyAlignment="1">
      <alignment horizontal="right" vertical="top"/>
    </xf>
    <xf numFmtId="8" fontId="3" fillId="4" borderId="1" xfId="0" applyNumberFormat="1" applyFont="1" applyFill="1" applyBorder="1" applyAlignment="1">
      <alignment horizontal="right" vertical="top"/>
    </xf>
    <xf numFmtId="15" fontId="6" fillId="0" borderId="0" xfId="0" applyNumberFormat="1" applyFont="1" applyAlignment="1">
      <alignment horizontal="left"/>
    </xf>
    <xf numFmtId="0" fontId="3" fillId="0" borderId="1" xfId="0" applyFont="1" applyBorder="1" applyAlignment="1">
      <alignment vertical="top"/>
    </xf>
  </cellXfs>
  <cellStyles count="4">
    <cellStyle name="Hipervínculo 2" xfId="1" xr:uid="{00000000-0005-0000-0000-000001000000}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showGridLines="0" tabSelected="1" workbookViewId="0"/>
  </sheetViews>
  <sheetFormatPr baseColWidth="10" defaultColWidth="11.85546875" defaultRowHeight="13.5" x14ac:dyDescent="0.25"/>
  <cols>
    <col min="1" max="1" width="48.7109375" style="8" customWidth="1"/>
    <col min="2" max="2" width="10.42578125" style="6" customWidth="1"/>
    <col min="3" max="3" width="12.7109375" style="8" bestFit="1" customWidth="1"/>
    <col min="4" max="4" width="9.42578125" style="8" bestFit="1" customWidth="1"/>
    <col min="5" max="5" width="21.28515625" style="1" bestFit="1" customWidth="1"/>
    <col min="6" max="7" width="10.42578125" style="8" customWidth="1"/>
    <col min="8" max="8" width="12.7109375" style="6" bestFit="1" customWidth="1"/>
    <col min="9" max="9" width="8.7109375" style="6" bestFit="1" customWidth="1"/>
    <col min="10" max="10" width="17.28515625" style="6" bestFit="1" customWidth="1"/>
    <col min="11" max="11" width="7.7109375" style="6" bestFit="1" customWidth="1"/>
    <col min="12" max="12" width="12.7109375" style="6" bestFit="1" customWidth="1"/>
    <col min="13" max="13" width="10.5703125" style="6" bestFit="1" customWidth="1"/>
    <col min="14" max="14" width="20" style="18" bestFit="1" customWidth="1"/>
    <col min="15" max="15" width="50.85546875" style="18" bestFit="1" customWidth="1"/>
    <col min="16" max="16" width="13.28515625" style="6" bestFit="1" customWidth="1"/>
    <col min="17" max="17" width="11.85546875" style="1" customWidth="1"/>
    <col min="18" max="16384" width="11.85546875" style="1"/>
  </cols>
  <sheetData>
    <row r="1" spans="1:16" ht="15" customHeight="1" x14ac:dyDescent="0.25">
      <c r="A1" s="25" t="s">
        <v>15</v>
      </c>
      <c r="B1" s="13"/>
      <c r="C1" s="10"/>
      <c r="D1" s="10"/>
      <c r="F1" s="15"/>
      <c r="G1" s="11" t="s">
        <v>6</v>
      </c>
      <c r="H1" s="12">
        <f>SUBTOTAL(9,H3:H99999)</f>
        <v>0</v>
      </c>
      <c r="I1" s="13"/>
      <c r="J1" s="12">
        <f>SUBTOTAL(9,J3:J99999)</f>
        <v>0</v>
      </c>
      <c r="K1" s="22" t="e">
        <f>L1/J1</f>
        <v>#DIV/0!</v>
      </c>
      <c r="L1" s="12">
        <f>SUBTOTAL(9,L3:L99999)</f>
        <v>0</v>
      </c>
      <c r="M1" s="23">
        <v>0.54</v>
      </c>
      <c r="N1" s="17"/>
      <c r="O1" s="17"/>
      <c r="P1" s="13"/>
    </row>
    <row r="2" spans="1:16" s="4" customFormat="1" ht="25.15" customHeight="1" x14ac:dyDescent="0.2">
      <c r="A2" s="14" t="s">
        <v>4</v>
      </c>
      <c r="B2" s="14" t="s">
        <v>13</v>
      </c>
      <c r="C2" s="14" t="s">
        <v>5</v>
      </c>
      <c r="D2" s="14" t="s">
        <v>17</v>
      </c>
      <c r="E2" s="14" t="s">
        <v>0</v>
      </c>
      <c r="F2" s="14" t="s">
        <v>2</v>
      </c>
      <c r="G2" s="14" t="s">
        <v>3</v>
      </c>
      <c r="H2" s="14" t="s">
        <v>8</v>
      </c>
      <c r="I2" s="14" t="s">
        <v>12</v>
      </c>
      <c r="J2" s="14" t="s">
        <v>11</v>
      </c>
      <c r="K2" s="19" t="s">
        <v>10</v>
      </c>
      <c r="L2" s="19"/>
      <c r="M2" s="19" t="s">
        <v>16</v>
      </c>
      <c r="N2" s="19" t="s">
        <v>9</v>
      </c>
      <c r="O2" s="19" t="s">
        <v>14</v>
      </c>
      <c r="P2" s="14" t="s">
        <v>7</v>
      </c>
    </row>
    <row r="3" spans="1:16" s="2" customFormat="1" x14ac:dyDescent="0.2">
      <c r="A3" s="26"/>
      <c r="B3" s="9" t="s">
        <v>1</v>
      </c>
      <c r="C3" s="5"/>
      <c r="D3" s="5"/>
      <c r="E3" s="3"/>
      <c r="F3" s="9" t="s">
        <v>1</v>
      </c>
      <c r="G3" s="9" t="s">
        <v>1</v>
      </c>
      <c r="H3" s="7"/>
      <c r="I3" s="21"/>
      <c r="J3" s="7">
        <f>H3/(1+I3)</f>
        <v>0</v>
      </c>
      <c r="K3" s="20"/>
      <c r="L3" s="7">
        <f>J3*K3</f>
        <v>0</v>
      </c>
      <c r="M3" s="24">
        <f>L3*0.21*$M$1</f>
        <v>0</v>
      </c>
      <c r="N3" s="16"/>
      <c r="O3" s="16"/>
      <c r="P3" s="16"/>
    </row>
  </sheetData>
  <autoFilter ref="C2:P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2026-01-30T11:02:26Z</dcterms:modified>
</cp:coreProperties>
</file>